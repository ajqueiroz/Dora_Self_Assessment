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worksheets/sheet14.xml" ContentType="application/vnd.openxmlformats-officedocument.spreadsheetml.worksheet+xml"/>
  <Override PartName="/xl/tables/table15.xml" ContentType="application/vnd.openxmlformats-officedocument.spreadsheetml.table+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
    </mc:Choice>
  </mc:AlternateContent>
  <xr:revisionPtr revIDLastSave="0" documentId="13_ncr:1_{6FD8905B-1563-4AE2-8EFD-D1274A871B25}" xr6:coauthVersionLast="47" xr6:coauthVersionMax="47" xr10:uidLastSave="{00000000-0000-0000-0000-000000000000}"/>
  <bookViews>
    <workbookView xWindow="2400" yWindow="2430" windowWidth="46020" windowHeight="18450" tabRatio="733" xr2:uid="{00000000-000D-0000-FFFF-FFFF00000000}"/>
  </bookViews>
  <sheets>
    <sheet name="Introduction DORA" sheetId="22" r:id="rId1"/>
    <sheet name="Overall results" sheetId="17" r:id="rId2"/>
    <sheet name="Task Manager " sheetId="10" r:id="rId3"/>
    <sheet name="ICT Risk Management" sheetId="11" r:id="rId4"/>
    <sheet name="ICT-related incident management" sheetId="13" r:id="rId5"/>
    <sheet name="Testing" sheetId="14" r:id="rId6"/>
    <sheet name="Third Party Risk Mangement" sheetId="15" r:id="rId8"/>
    <sheet name="Information Sharing" sheetId="30" r:id="rId7"/>
    <sheet name="Do not Touch" sheetId="21" r:id="rId10"/>
    <sheet name="Sheet2" sheetId="2" r:id="rId12"/>
  </sheets>
  <definedNames>
    <definedName name="ExternalData_1" localSheetId="8" hidden="1">'Do not Touch'!$A$1:$K$3</definedName>
    <definedName name="ExternalData_1" localSheetId="1" hidden="1">'Overall results'!$B$13:$L$14</definedName>
    <definedName name="ExternalData_4" localSheetId="8" hidden="1">'Do not Touch'!$AY$1:$BI$3</definedName>
    <definedName name="ExternalData_5" localSheetId="8" hidden="1">'Do not Touch'!$P$1:$Z$3</definedName>
    <definedName name="ExternalData_6" localSheetId="8" hidden="1">'Do not Touch'!$AC$1:$AM$3</definedName>
  </definedNames>
  <calcPr calcId="191029"/>
  <extLs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Reviewer</author>
    <author>tc={93BFBC6E-CC02-4FE6-8589-C8D17340DCB9}</author>
  </authors>
  <commentList>
    <comment ref="K13" authorId="0" shapeId="0" xr:uid="{540CEA49-C02B-4889-86A1-B2397309BD8A}">
      <text>
        <r>
          <rPr>
            <b/>
            <sz val="14"/>
            <color indexed="81"/>
            <rFont val="Tahoma"/>
            <family val="2"/>
          </rPr>
          <t xml:space="preserve">High Effort  </t>
        </r>
        <r>
          <rPr>
            <sz val="14"/>
            <color indexed="81"/>
            <rFont val="Tahoma"/>
            <family val="2"/>
          </rPr>
          <t xml:space="preserve">
"Examples include but are not limited to:
- New processes and activities that have not existed previously need to be implemented and embedded into repeatable, regular tasks.
- New reporting that have not existed previously need to be implemented.
- New governing and steering documents need to be put in place. 
- Onboarding of a large number of, for example, user accounts or Business Services or infrastructure platforms to security platforms."   
</t>
        </r>
        <r>
          <rPr>
            <b/>
            <sz val="14"/>
            <color indexed="81"/>
            <rFont val="Tahoma"/>
            <family val="2"/>
          </rPr>
          <t xml:space="preserve">Medium Effort </t>
        </r>
        <r>
          <rPr>
            <sz val="14"/>
            <color indexed="81"/>
            <rFont val="Tahoma"/>
            <family val="2"/>
          </rPr>
          <t xml:space="preserve">
"Examples include but are not limited to:
- Improvements to existing processes and activities need to be implemented and embedded into repeatable, regular tasks
- Improvements into existing reporting that need to be implemented.
- Updates to existing governing and steering documents.
- Continued onboarding of, for example, user accounts or Business Services or infrastructure platforms applications to security platforms."            
</t>
        </r>
        <r>
          <rPr>
            <b/>
            <sz val="14"/>
            <color indexed="81"/>
            <rFont val="Tahoma"/>
            <family val="2"/>
          </rPr>
          <t xml:space="preserve">Low Effort </t>
        </r>
        <r>
          <rPr>
            <sz val="14"/>
            <color indexed="81"/>
            <rFont val="Tahoma"/>
            <family val="2"/>
          </rPr>
          <t xml:space="preserve">
"Examples include but are not limited to:
- Minor corrections to established processes and activities.
- Minor updates to existing documentation (regulations, process descriptions etc). 
- Other quick wins." </t>
        </r>
      </text>
    </comment>
    <comment ref="H14" authorId="1" shapeId="0" xr:uid="{93BFBC6E-CC02-4FE6-8589-C8D17340DCB9}">
      <text>
        <t>[Trådad kommentar]
I din version av Excel kan du läsa den här trådade kommentaren, men eventuella ändringar i den tas bort om filen öppnas i en senare version av Excel. Läs mer: https://go.microsoft.com/fwlink/?linkid=870924
Kommentar:
    Mathias här måste vi lägga till formatering för färger.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Reviewer</author>
  </authors>
  <commentList>
    <comment ref="K4" authorId="0" shapeId="0" xr:uid="{F5CF5C46-8E2C-4478-A7A4-DFEBF723EF5A}">
      <text>
        <r>
          <rPr>
            <b/>
            <sz val="14"/>
            <color indexed="81"/>
            <rFont val="Tahoma"/>
            <family val="2"/>
          </rPr>
          <t xml:space="preserve">High Effort  
</t>
        </r>
        <r>
          <rPr>
            <sz val="14"/>
            <color indexed="81"/>
            <rFont val="Tahoma"/>
            <family val="2"/>
          </rPr>
          <t>"Examples include but are not limited to:
- New processes and activities that have not existed previously need to be implemented and embedded into repeatable, regular tasks.
- New reporting that have not existed previously need to be implemented.
- New governing and steering documents need to be put in place. 
- Onboarding of a large number of, for example, user accounts or Business Services or infrastructure platforms to security platforms."</t>
        </r>
        <r>
          <rPr>
            <b/>
            <sz val="14"/>
            <color indexed="81"/>
            <rFont val="Tahoma"/>
            <family val="2"/>
          </rPr>
          <t xml:space="preserve">   
Medium Effort 
</t>
        </r>
        <r>
          <rPr>
            <sz val="14"/>
            <color indexed="81"/>
            <rFont val="Tahoma"/>
            <family val="2"/>
          </rPr>
          <t xml:space="preserve">"Examples include but are not limited to:
- Improvements to existing processes and activities need to be implemented and embedded into repeatable, regular tasks
- Improvements into existing reporting that need to be implemented.
- Updates to existing governing and steering documents.
- Continued onboarding of, for example, user accounts or Business Services or infrastructure platforms applications to security platforms."       </t>
        </r>
        <r>
          <rPr>
            <b/>
            <sz val="14"/>
            <color indexed="81"/>
            <rFont val="Tahoma"/>
            <family val="2"/>
          </rPr>
          <t xml:space="preserve">     
Low Effort 
</t>
        </r>
        <r>
          <rPr>
            <sz val="14"/>
            <color indexed="81"/>
            <rFont val="Tahoma"/>
            <family val="2"/>
          </rPr>
          <t xml:space="preserve">"Examples include but are not limited to:
- Minor corrections to established processes and activities.
- Minor updates to existing documentation (regulations, process descriptions etc). 
- Other quick wins." </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Reviewer</author>
  </authors>
  <commentList>
    <comment ref="K5" authorId="0" shapeId="0" xr:uid="{325D9BB7-EBCE-4D15-8189-5ADDF239C5EB}">
      <text>
        <r>
          <rPr>
            <b/>
            <sz val="14"/>
            <color indexed="81"/>
            <rFont val="Tahoma"/>
            <family val="2"/>
          </rPr>
          <t xml:space="preserve">High Effort  
</t>
        </r>
        <r>
          <rPr>
            <sz val="14"/>
            <color indexed="81"/>
            <rFont val="Tahoma"/>
            <family val="2"/>
          </rPr>
          <t xml:space="preserve">"Examples include but are not limited to:
- New processes and activities that have not existed previously need to be implemented and embedded into repeatable, regular tasks.
- New reporting that have not existed previously need to be implemented.
- New governing and steering documents need to be put in place. 
- Onboarding of a large number of, for example, user accounts or Business Services or infrastructure platforms to security platforms."   
         </t>
        </r>
        <r>
          <rPr>
            <b/>
            <sz val="14"/>
            <color indexed="81"/>
            <rFont val="Tahoma"/>
            <family val="2"/>
          </rPr>
          <t xml:space="preserve">
Medium Effort 
</t>
        </r>
        <r>
          <rPr>
            <sz val="14"/>
            <color indexed="81"/>
            <rFont val="Tahoma"/>
            <family val="2"/>
          </rPr>
          <t xml:space="preserve">
"Examples include but are not limited to:
- Improvements to existing processes and activities need to be implemented and embedded into repeatable, regular tasks
- Improvements into existing reporting that need to be implemented.
- Updates to existing governing and steering documents.
- Continued onboarding of, for example, user accounts or Business Services or infrastructure platforms applications to security platforms."            </t>
        </r>
        <r>
          <rPr>
            <b/>
            <sz val="14"/>
            <color indexed="81"/>
            <rFont val="Tahoma"/>
            <family val="2"/>
          </rPr>
          <t xml:space="preserve">
Low Effort 
</t>
        </r>
        <r>
          <rPr>
            <sz val="14"/>
            <color indexed="81"/>
            <rFont val="Tahoma"/>
            <family val="2"/>
          </rPr>
          <t xml:space="preserve">
"Examples include but are not limited to:
- Minor corrections to established processes and activities.
- Minor updates to existing documentation (regulations, process descriptions etc). 
- Other quick wins."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Reviewer</author>
  </authors>
  <commentList>
    <comment ref="K8" authorId="0" shapeId="0" xr:uid="{B2E0E0D5-2DFF-4697-8AA6-2850C453C19D}">
      <text>
        <r>
          <rPr>
            <b/>
            <sz val="14"/>
            <color indexed="81"/>
            <rFont val="Tahoma"/>
            <family val="2"/>
          </rPr>
          <t xml:space="preserve">High Effort  
</t>
        </r>
        <r>
          <rPr>
            <sz val="14"/>
            <color indexed="81"/>
            <rFont val="Tahoma"/>
            <family val="2"/>
          </rPr>
          <t xml:space="preserve">"Examples include but are not limited to:
- New processes and activities that have not existed previously need to be implemented and embedded into repeatable, regular tasks.
- New reporting that have not existed previously need to be implemented.
- New governing and steering documents need to be put in place. 
- Onboarding of a large number of, for example, user accounts or Business Services or infrastructure platforms to security platforms."   
         </t>
        </r>
        <r>
          <rPr>
            <b/>
            <sz val="14"/>
            <color indexed="81"/>
            <rFont val="Tahoma"/>
            <family val="2"/>
          </rPr>
          <t xml:space="preserve">
Medium Effort 
</t>
        </r>
        <r>
          <rPr>
            <sz val="14"/>
            <color indexed="81"/>
            <rFont val="Tahoma"/>
            <family val="2"/>
          </rPr>
          <t xml:space="preserve">
"Examples include but are not limited to:
- Improvements to existing processes and activities need to be implemented and embedded into repeatable, regular tasks
- Improvements into existing reporting that need to be implemented.
- Updates to existing governing and steering documents.
- Continued onboarding of, for example, user accounts or Business Services or infrastructure platforms applications to security platforms."            </t>
        </r>
        <r>
          <rPr>
            <b/>
            <sz val="14"/>
            <color indexed="81"/>
            <rFont val="Tahoma"/>
            <family val="2"/>
          </rPr>
          <t xml:space="preserve">
Low Effort 
</t>
        </r>
        <r>
          <rPr>
            <sz val="14"/>
            <color indexed="81"/>
            <rFont val="Tahoma"/>
            <family val="2"/>
          </rPr>
          <t xml:space="preserve">
"Examples include but are not limited to:
- Minor corrections to established processes and activities.
- Minor updates to existing documentation (regulations, process descriptions etc). 
- Other quick wins."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Reviewer</author>
  </authors>
  <commentList>
    <comment ref="K5" authorId="0" shapeId="0" xr:uid="{C0EA1868-4FF1-4007-A831-CD69B5D91676}">
      <text>
        <r>
          <rPr>
            <b/>
            <sz val="14"/>
            <color indexed="81"/>
            <rFont val="Tahoma"/>
            <family val="2"/>
          </rPr>
          <t xml:space="preserve">High Effort  
</t>
        </r>
        <r>
          <rPr>
            <sz val="14"/>
            <color indexed="81"/>
            <rFont val="Tahoma"/>
            <family val="2"/>
          </rPr>
          <t xml:space="preserve">"Examples include but are not limited to:
- New processes and activities that have not existed previously need to be implemented and embedded into repeatable, regular tasks.
- New reporting that have not existed previously need to be implemented.
- New governing and steering documents need to be put in place. 
- Onboarding of a large number of, for example, user accounts or Business Services or infrastructure platforms to security platforms."   </t>
        </r>
        <r>
          <rPr>
            <b/>
            <sz val="14"/>
            <color indexed="81"/>
            <rFont val="Tahoma"/>
            <family val="2"/>
          </rPr>
          <t xml:space="preserve">
Medium Effort 
</t>
        </r>
        <r>
          <rPr>
            <sz val="14"/>
            <color indexed="81"/>
            <rFont val="Tahoma"/>
            <family val="2"/>
          </rPr>
          <t xml:space="preserve">
"Examples include but are not limited to:
- Improvements to existing processes and activities need to be implemented and embedded into repeatable, regular tasks
- Improvements into existing reporting that need to be implemented.
- Updates to existing governing and steering documents.
- Continued onboarding of, for example, user accounts or Business Services or infrastructure platforms applications to security platforms."            </t>
        </r>
        <r>
          <rPr>
            <b/>
            <sz val="14"/>
            <color indexed="81"/>
            <rFont val="Tahoma"/>
            <family val="2"/>
          </rPr>
          <t xml:space="preserve">
Low Effort 
</t>
        </r>
        <r>
          <rPr>
            <sz val="14"/>
            <color indexed="81"/>
            <rFont val="Tahoma"/>
            <family val="2"/>
          </rPr>
          <t xml:space="preserve">
"Examples include but are not limited to:
- Minor corrections to established processes and activities.
- Minor updates to existing documentation (regulations, process descriptions etc). 
- Other quick wins."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C54B8F4-52DB-4EDD-BDCA-AA8AA9C11153}"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6F07697D-3080-4BAE-902B-6E96D818A437}"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3" xr16:uid="{F6CFFE22-5EA2-484B-98F8-1A3FC72614B2}" keepAlive="1" name="Query - Table2 (2)" description="Connection to the 'Table2 (2)' query in the workbook." type="5" refreshedVersion="8" background="1" saveData="1">
    <dbPr connection="Provider=Microsoft.Mashup.OleDb.1;Data Source=$Workbook$;Location=&quot;Table2 (2)&quot;;Extended Properties=&quot;&quot;" command="SELECT * FROM [Table2 (2)]"/>
  </connection>
  <connection id="4" xr16:uid="{2D761CF2-C894-4878-9B2C-9DBC766175D0}" keepAlive="1" name="Query - Table3" description="Connection to the 'Table3' query in the workbook." type="5" refreshedVersion="8" background="1" saveData="1">
    <dbPr connection="Provider=Microsoft.Mashup.OleDb.1;Data Source=$Workbook$;Location=Table3;Extended Properties=&quot;&quot;" command="SELECT * FROM [Table3]"/>
  </connection>
  <connection id="5" xr16:uid="{931572DB-7283-4A85-A40D-0DD7E2939DF5}" keepAlive="1" name="Query - Table4" description="Connection to the 'Table4' query in the workbook." type="5" refreshedVersion="8" background="1" saveData="1">
    <dbPr connection="Provider=Microsoft.Mashup.OleDb.1;Data Source=$Workbook$;Location=Table4;Extended Properties=&quot;&quot;" command="SELECT * FROM [Table4]"/>
  </connection>
</connections>
</file>

<file path=xl/sharedStrings.xml><?xml version="1.0" encoding="utf-8"?>
<sst xmlns="http://schemas.openxmlformats.org/spreadsheetml/2006/main" count="1799" uniqueCount="601">
  <si>
    <t xml:space="preserve">ICT Risk management </t>
  </si>
  <si>
    <t>Digitial Testing and Exercising</t>
  </si>
  <si>
    <t>ICT Third-party Management</t>
  </si>
  <si>
    <t xml:space="preserve">ICT Incident Reporting and management </t>
  </si>
  <si>
    <t xml:space="preserve">IT tools and systems to minize ICT Risk </t>
  </si>
  <si>
    <t xml:space="preserve">Detection systems and processes </t>
  </si>
  <si>
    <t xml:space="preserve">Business continuity plans for all processes involving </t>
  </si>
  <si>
    <t xml:space="preserve">Disaster Recovery plans for all Critical and Important systems </t>
  </si>
  <si>
    <t>ICT Third-party Risk Management</t>
  </si>
  <si>
    <t>Identification of ICT risks</t>
  </si>
  <si>
    <t>Classification of ICT-related incidents</t>
  </si>
  <si>
    <t>Reporting of major ICT-related incidents</t>
  </si>
  <si>
    <t>General requirements for the performance of digital operational resilience testing</t>
  </si>
  <si>
    <t>Testing of ICT tools and systems</t>
  </si>
  <si>
    <t>Advanced testing of ICT tools, systems and processes based on threat led penetration testing</t>
  </si>
  <si>
    <t xml:space="preserve"> Requirements for testers</t>
  </si>
  <si>
    <t>Preliminary assessment of ICT concentration risk and further sub-outsourcing arrangements</t>
  </si>
  <si>
    <t>Key contractual provisions</t>
  </si>
  <si>
    <t>Establish and implement an ICT-related incident management process to detect, manage and notify ICT-related incidents</t>
  </si>
  <si>
    <t>General requirements and principles</t>
  </si>
  <si>
    <t>Information Sharing Arrangements</t>
  </si>
  <si>
    <t>Information-sharing arrangements on cyber threat information and intelligence</t>
  </si>
  <si>
    <t>Kontroll</t>
  </si>
  <si>
    <t xml:space="preserve">Kontrollbevis </t>
  </si>
  <si>
    <t>För stöd, se 
vägledning 
avsnitt</t>
  </si>
  <si>
    <t>Kommentar/åtgärd</t>
  </si>
  <si>
    <t>ICT Risk management Framework is established</t>
  </si>
  <si>
    <t xml:space="preserve">Uppfyllnad av kontroll Ja/Delvis/Nej </t>
  </si>
  <si>
    <t xml:space="preserve">Your entity have a comprehensive ICT risk management framework that enables you to address ICT risks quickly and accurately. It  include strategies, policies, procedures, protocols, and tools to protect physical components and infrastructures, like computer hardware and servers. The framework should be documented and reviewed regularly, audited by ICT auditors, and include a digital resilience strategy setting out how the framework is implemented. It should also include communication strategies in case of ICT-related incidents. </t>
  </si>
  <si>
    <t xml:space="preserve">Your entity have in place a comprehensive ICT Business Continuity Policy and associated ICT Disaster Recovery Plan as part of your risk management framework. These policies should include arrangements, plans, procedures and mechanisms to record, respond to, and resolve ICT-related incidents, as well as communication and crisis management actions. Your entity test the ICT Business Continuity Policy and ICT Disaster Recovery Plan yearly and after substantive changes, and have a crisis management function in case of activation. Records of activities before and during disruption events is also  kept. </t>
  </si>
  <si>
    <t xml:space="preserve">
Your entity has taken the necessary steps to ensure your ICT-related incident management process is effective. You have established roles and responsibilities for different incident types and scenarios, as well as plans for communication and notification for major incidents. You have also established response procedures to mitigate impacts and put in place early warning indicators as alerts.</t>
  </si>
  <si>
    <t>Your entity have established and reviewed a digital operational resilience testing programme as part of your ICT risk management framework. This program include risk-based assessments, tests, methodologies, practices and tools. Finally, all critical ICT systems and applications are tested by a third-party actor   at least once a year.</t>
  </si>
  <si>
    <t>Your entity test  digital operational resilience, which include vulnerability assessments, open source analyses, network security assessments, gap analyses, physical security reviews, questionnaires, scanning software solutions, source code reviews, scenario-based tests, compatibility testing, performance testing, and end-to-end or penetration testing.</t>
  </si>
  <si>
    <t xml:space="preserve">Yoru entity carry out threat led penetration testing at least every 3 years to cover at least the critical functions and services of your organization. The testing is  performed on live production systems, and any ICT third-party service providers are included in the scope. </t>
  </si>
  <si>
    <t>Your entity only use highly qualified and reputable testers for threat-led penetration testing, who are certified by a professional body and have the necessary technical and organizational capabilities. The external testers  have appropriate professional indemnity insurance, and your agreements must cover the sound management of penetration testing results, including the proper protection of confidential information and any processing of the results.</t>
  </si>
  <si>
    <t xml:space="preserve">Your entity manage ICT third-party risk as an integral component of your ICT risk management framework and in accordance with outlined principles. These principles include the responsibility of contractual arrangements, the adoption and regular review of a strategy on ICT third-party risk, the maintenance and updating of a Register of Information, and the assessment of risks prior to entering into a contractual arrangement. </t>
  </si>
  <si>
    <t>Your entity assess the risks of ICT concentration when contracting with an ICT third-party service provider. This includes looking at the possibility of sub-contracting and weighing the benefits and costs of different solutions. Factors to consider include data protection, enforcement of law, insolvency law provisions, and the ability to recover data. Your entity also assess how long or complex chains of sub-contracting may impact your ability to monitor the contracted functions and the effectiveness of the competent authority's supervision.</t>
  </si>
  <si>
    <t xml:space="preserve">
Your entity have contractual arrangements including the description of functions and services to be provided, the locations where data is to be processed, accessibility and availability, service level descriptions, reporting obligations, and termination rights. </t>
  </si>
  <si>
    <t>Your entity exchange cyber threat information and intelligence with other entities in order to enhance your digital operational resilience. The information-sharing arrangements are conducted in a trusted community, with rules in place to protect the sensitivity of the information shared, and is  overseen by public authorities. Your entity also notify competent authorities when joining or leaving the information-sharing arrangements.</t>
  </si>
  <si>
    <t xml:space="preserve">Your entity ensure that the internal ICT systems, protocols, and tools are reliable, appropriate for your operations, and equipped with the necessary capacity to process data in a timely manner. </t>
  </si>
  <si>
    <t xml:space="preserve">
Your entity inform your service users, submit initial, intermediate and final reports to the relevant competent authority, and may delegate their reporting obligations to a third-party service provider with approval. </t>
  </si>
  <si>
    <t xml:space="preserve">Ja </t>
  </si>
  <si>
    <t xml:space="preserve">Nej </t>
  </si>
  <si>
    <t xml:space="preserve">Delvist </t>
  </si>
  <si>
    <t>% till  at ha uppfyllnad av kontrol fullt</t>
  </si>
  <si>
    <t>Nej</t>
  </si>
  <si>
    <t>Your entity has a comprehensive backup and recovery policy in place to ensure that ICT systems can be restored with minimal disruption and downtime. Backup systems must be activated quickly, and if they are self-hosted, they must run in a secure, separate environment. Your entity also maintains redundant ICT capacities, and if specified, must have a secondary processing site located at a different geographical distance to ensure the same level of services, and it must be immediately accessible. Recovery time and point objectives must consider any potential market impact, and multiple checks must be conducted to verify data integrity when recovering from an ICT-related incident.</t>
  </si>
  <si>
    <t>Ja</t>
  </si>
  <si>
    <t xml:space="preserve">Key Area </t>
  </si>
  <si>
    <t>Kontoller som är delvist/inte uppfyllnad</t>
  </si>
  <si>
    <t>% uppfyllt</t>
  </si>
  <si>
    <t xml:space="preserve">Your entity have a comprehensive ICT risk management framework that enables you to address ICT risks quickly and accurately?
It include strategies, policies, procedures, protocols, and tools to protect physical components and infrastructures, like computer hardware and servers?
The framework is documented and reviewed regularly, audited by ICT auditors, and include a digital resilience strategy setting out how the framework is implemented?
It is also include communication strategies in case of ICT-related incidents? </t>
  </si>
  <si>
    <t xml:space="preserve">Your entity ensure that the internal ICT systems, protocols, and tools are reliable, appropriate for your operations, and equipped with the necessary capacity to process data in a timely manner? </t>
  </si>
  <si>
    <t>Your entity ensure conducting ICT risk assessments?
Your entity are identifying, classifying, documenting and reviewing business functions, information assets, ICT system configurations and interconnections? 
Your entity also identify and document any processes reliant on third-party service providers and maintain inventories?
Your entity perform a yearly risk assessment on legacy systems?</t>
  </si>
  <si>
    <t>Your entity has established systems to detect ICT network performance issues, ICT-related incidents, and single points of failure?
These systems are regularly tested and have multiple layers of control and alert thresholds in place? 
Additionally, your entity allocates resources to monitor user activity, ICT anomalies, and cyber-attacks?
Lastly, there are systems in place to check trade reports for accuracy and request re-transmission of faulty reports?</t>
  </si>
  <si>
    <t>Your entity have in place a comprehensive ICT Business Continuity Policy and associated ICT Disaster Recovery Plan as part of your risk management framework? 
These policies include arrangements, plans, procedures and mechanisms to record, respond to, and resolve ICT-related incidents, as well as communication and crisis management actions?
Your entity test the ICT Business Continuity Policy and ICT Disaster Recovery Plan yearly and after substantive changes, and have a crisis management function in case of activation?
Records of activities before and during disruption events is also  kept?</t>
  </si>
  <si>
    <t>Your entity has a comprehensive backup and recovery policy in place to ensure that ICT systems can be restored with minimal disruption and downtime?
Backup systems are activated quickly, and if they are self-hosted, they  run in a secure, separate environment?
Your entity also maintains redundant ICT capacities, and if specified, they have a secondary processing site located at a different geographical distance to ensure the same level of services, and is immediately accessible?
Recovery time and point objectives consider any potential market impact, and multiple checks are conducted to verify data integrity when recovering from an ICT-related incident?</t>
  </si>
  <si>
    <t xml:space="preserve">
Your entity has taken the necessary steps to ensure your ICT-related incident management process is effective?
You have established roles and responsibilities for different incident types and scenarios? 
You have plans for communication and notification for major incidents? 
You have also established response procedures to mitigate impacts and put in place early warning indicators as alerts?</t>
  </si>
  <si>
    <t xml:space="preserve">
Your entity classify ICT-related incidents based on criteria like user count, duration, data losses, severity of impact, and economic impact?</t>
  </si>
  <si>
    <t xml:space="preserve">
Your entity inform your service users, submit initial, intermediate and final reports to the relevant competent authority?
Your entity delegate the reporting obligations to a third-party service provider with approval?</t>
  </si>
  <si>
    <t>Does your financial entity have in place an internal governance and control framework that ensures an effective and prudent management of ICT risk</t>
  </si>
  <si>
    <t xml:space="preserve">Does your management body define, oversee and take responsibility for the ICT risk management framwork? </t>
  </si>
  <si>
    <t>Maintain policies to in sure high standards of availability, authenticity, integrity, and confidentiality of data</t>
  </si>
  <si>
    <t xml:space="preserve">Set clear roles and responsibilities for all ICT related functions </t>
  </si>
  <si>
    <t xml:space="preserve">Approve oversee and periodically review the implementation/upkeep of ICT business continuity policy </t>
  </si>
  <si>
    <t xml:space="preserve">Approve and periodically review ICT internal audit plans, ICT audits, and modification to them. </t>
  </si>
  <si>
    <t>Allocate and periodically review the appropriate budget to fulfil the financial entity digital operational resilience, including: ICT security awareness programs and digital resilience trainings</t>
  </si>
  <si>
    <t xml:space="preserve">Approve and periodically approve all ICT service providers </t>
  </si>
  <si>
    <t xml:space="preserve">Put in place at corporate level, reporting channels informing the organization following: </t>
  </si>
  <si>
    <t xml:space="preserve">Arrangement concluded with ICT third-party service providers </t>
  </si>
  <si>
    <t xml:space="preserve">The potential impact of such changes on the critical or important functions subject to those arrangements. </t>
  </si>
  <si>
    <t xml:space="preserve">Financial entities, other than microenterprises, shall establish a role in order to monitor the arrangements concluded with ICT third-party services providers. </t>
  </si>
  <si>
    <t xml:space="preserve">The financial entities have a sound comprehensive and well-documented ICT risk management framework. </t>
  </si>
  <si>
    <t xml:space="preserve">The organization has ICT risk management Strategies </t>
  </si>
  <si>
    <t xml:space="preserve">The organization has ICT risk management Policies  </t>
  </si>
  <si>
    <t xml:space="preserve">The organization has ICT risk management Procedures </t>
  </si>
  <si>
    <t xml:space="preserve">The organization has ICT Risk management Protocols </t>
  </si>
  <si>
    <t>Does the organization minimize ICT risks by having Strategies, policies, procedures, and ICT protocols and Tools?</t>
  </si>
  <si>
    <t>Are all information relating to ICT risks completed and updated in a database and provided to the competent authorities?</t>
  </si>
  <si>
    <t xml:space="preserve">Have the organization assigned the responsibilities for managing and overseeing the ICT risk to a control function who needs to be independent and separated in accordance with the three lines of defense? </t>
  </si>
  <si>
    <t>Does the internal audit organization have sufficient knowledge, skills, expertise to audit the ICT Risk Management Framework?)</t>
  </si>
  <si>
    <t xml:space="preserve">Does the internal audit have the capability and organization to create/update follow-ups </t>
  </si>
  <si>
    <t xml:space="preserve">Does the Risk Management Framework include: </t>
  </si>
  <si>
    <t xml:space="preserve">Business strategy and objectives as it relates to the ICT risk management framework </t>
  </si>
  <si>
    <t xml:space="preserve">Established a risk tolerance level for the ICT risk </t>
  </si>
  <si>
    <t xml:space="preserve">Clear information security objectives including key performance indicators and key risk metrics </t>
  </si>
  <si>
    <t xml:space="preserve">explaining the ICT reference architecture and how it relates to the specific business objectives </t>
  </si>
  <si>
    <t xml:space="preserve">outlining mechanisms (methods) to detect ICT-related incidents and to prevent their impact and provide protection from it </t>
  </si>
  <si>
    <t xml:space="preserve">Situational Awareness for major ICT related Incidents </t>
  </si>
  <si>
    <t xml:space="preserve">Implementation of digital operational resilience testing </t>
  </si>
  <si>
    <t xml:space="preserve">Outlining of communication strategy in case of an incident </t>
  </si>
  <si>
    <t>Is the organization acting as responsible for all service providers running business operations?</t>
  </si>
  <si>
    <t>Is ICT third party risk implemented in light of the principle of proportionality taking into account the nature, scale, complexity and importance of ICT related dependencies</t>
  </si>
  <si>
    <t xml:space="preserve">Is ICT third party risk implemented in light of the principle of proportionality taking into account the risks arising from contractual arrangements on the use of ICT services done by ICT third party service providers especially with regards to Criticality or importance service, process or function. with regard to the continuity and availbility of financial services and activities </t>
  </si>
  <si>
    <t xml:space="preserve">As part of the ICT Risk management organizations should maintain and update a data base related to all contractual arrangements on the use of the ICT services provided by ICT third party </t>
  </si>
  <si>
    <t xml:space="preserve">Article  </t>
  </si>
  <si>
    <t>Section</t>
  </si>
  <si>
    <t xml:space="preserve">Does the organization have appropriate measures in place to ensure that service providers to critical or important functions are not too hard to replace or that individual service providers have multiple contractual arrangements making the organization too reliant on them. </t>
  </si>
  <si>
    <t xml:space="preserve">Does the organization have measures in place to weigh the risk of subcontractors of  a service provider that service critical or important functions. Especially if the sub contractor is in a third country. </t>
  </si>
  <si>
    <t xml:space="preserve">If the service provider in a third country the organization should; under stand the risk relating to data protection </t>
  </si>
  <si>
    <t xml:space="preserve">If the service provider in a third country the organization should; insolvency law provisions that apply in the event of a service provider going bankrupt </t>
  </si>
  <si>
    <t xml:space="preserve">If the service provider in a third country the organization should; weigh the risk of any constraints that may arise in repect to the urgent recovery of the organizations data </t>
  </si>
  <si>
    <t xml:space="preserve">Organizations should consider if long and complex sub-contractor networks may effect the way the organization can monitor the service provider. </t>
  </si>
  <si>
    <t xml:space="preserve">The organization should ensure that the right and obligations of the financial entity and the ICT third party is allocated in writing and the full contract should be documented in one written document available to both parties </t>
  </si>
  <si>
    <t>i) rights of access, inspection and audit by the financial entity or by an appointed third-party, and the right to take copies of relevant documentation, the effective exercise of which is not impeded or limited by other contractual arrangements or implementation policies;</t>
  </si>
  <si>
    <t xml:space="preserve">The organization should ensure to consider to use standard contractual clauses developed for the specific services </t>
  </si>
  <si>
    <t xml:space="preserve">Topic </t>
  </si>
  <si>
    <t>Third Party Risk Management</t>
  </si>
  <si>
    <t xml:space="preserve">Does the organization have mechanisms in place to promptly detect anomalous activities such as: ICT performance issues and ICT related incidents </t>
  </si>
  <si>
    <t xml:space="preserve">Does the dedection mechanism have layers of control, defined alerts and criteria to trigger ICT related incident response processes. </t>
  </si>
  <si>
    <t xml:space="preserve">Does the organization as part of the ICT risk management framework have a comprehensive ICT business continuity policy as an integrated part of the operational business continuity policy of the financial entity </t>
  </si>
  <si>
    <t>Does the organization have ICT Disastter Recovery plans in place, which can be audited by an independent auditor</t>
  </si>
  <si>
    <t>Does the organization do the following as part of their comprehensive ICT risk management:
(a) test the ICT Business Continuity Policy and the ICT Disaster Recovery Plan at least yearly and after substantive changes to the ICT systems;
(b) test the crisis communication plans established in accordance with Article 13</t>
  </si>
  <si>
    <t xml:space="preserve">Does your organization have a comprehensive Crisis Management function which can be activated in accordance with the business continuity policy or disater recovery plans. </t>
  </si>
  <si>
    <t xml:space="preserve">does your organization have clear guidelines for tracking all events taking place before, during and after a disruptive event. </t>
  </si>
  <si>
    <t xml:space="preserve">Does the organization have the capabilities to share all tests and exercise reports with authorities </t>
  </si>
  <si>
    <t>does the organization have the capabilities to report of the losses caused by a ICT disruption</t>
  </si>
  <si>
    <t xml:space="preserve">does the ICT business continuity policy refered to in article 10,1 have arrangements, plans, procedures, and mechanisms aimed at:
((a) ensure the continuity of the financial entity’s critical or important functions;
(b) quickly, appropriately and effectively respond to, and resolve, all ICT-related incidents in a way that limits damage and prioritises the resumption of activities and recovery actions;
(c) activate, without delay, dedicated plans that enable containment measures, processes and technologies suited to each type of ICT-related incident and prevent further damage, as well as tailored response and recovery procedures established in accordance with Article 12;
(d) estimate preliminary impacts, damages and losses;
(e) set out communication and crisis management actions that ensure that updated information is transmitted to all relevant internal staff and external stakeholders in accordance with Article 14, and report to the competent authorities in accordance with Article </t>
  </si>
  <si>
    <t xml:space="preserve">Bear the ultimate responsibility for managing the organizations ICT risk </t>
  </si>
  <si>
    <t>bear the overall responsibility for setting and approving the digital operational 
resilience strategy as referred to in Article 6(8), including the determination of the 
appropriate risk tolerance level of ICT risk of the financial entity, as referred to in 
Article 6(8), point (b);</t>
  </si>
  <si>
    <t xml:space="preserve">are the organizations members of the management shall actively keep up to date with sufficient knowledge and skills to understand and assess ICT risks and its impacts of the operations </t>
  </si>
  <si>
    <t xml:space="preserve">Are a review cycle once a year put into place or whenever a big incident occurs or larger changes to the organization? </t>
  </si>
  <si>
    <t xml:space="preserve">Does the internal audit organization have the capability to audit regularly </t>
  </si>
  <si>
    <t>In order to address and manage ICT risk, financial entities shall use and maintain updated ICT 
systems, protocols and tools that are:</t>
  </si>
  <si>
    <t>appropriate to the magnitude of operations supporting the conduct of their activities, in 
accordance with the proportionality principle as referred to in Article 4;</t>
  </si>
  <si>
    <t>(b) reliable;</t>
  </si>
  <si>
    <t>equipped with sufficient capacity to accurately process the data necessary for the 
performance of activities and the timely provision of services, and to deal with peak orders, 
message or transaction volumes, as needed, including where new technology is introduced</t>
  </si>
  <si>
    <t>technologically resilient in order to adequately deal with additional information processing 
needs as required under stressed market conditions or other adverse situations.</t>
  </si>
  <si>
    <t>Does the organization identify, classify and adequently document all ICT supported functions, roles and responsiblities, information and other ICT assets supporting those functions</t>
  </si>
  <si>
    <t xml:space="preserve">Does the organization identify all sources of ICT risks; especially the ICT risks coming from other and to other financial entities, cyber threats, and ICT vulnerabilities </t>
  </si>
  <si>
    <t xml:space="preserve">Does the organization do risk assessment on major changes in the network. </t>
  </si>
  <si>
    <t xml:space="preserve">Does the organization work with identifying all information assets and ICT assets, including remote sites, network resources and hardware equipment. </t>
  </si>
  <si>
    <t xml:space="preserve">Does the organization identify all processes that are dependent of ICT third party service providers and their interdependencies with third party service providers that work with critical or important functions. </t>
  </si>
  <si>
    <t>does the organization maintain relevant inventories and update them periodically and every time any major change as referred to in paragraph 3 occurs.</t>
  </si>
  <si>
    <t xml:space="preserve">Does the organization conduct a yearly risk assessment on all legacy systems? </t>
  </si>
  <si>
    <t xml:space="preserve">Is he mechanism tested regularly </t>
  </si>
  <si>
    <t xml:space="preserve">Does the organization ensure that they have sufficient resources and capabilities to monitor user activity, the occurence of ICT anormalties and ICT related incidents especially cyber attacks </t>
  </si>
  <si>
    <t xml:space="preserve">Does the organization have in place effective systems that check trade reports for completness, identify omissions and obvious errors? </t>
  </si>
  <si>
    <t>Does the orgnization define, establish and implement an ICT-related incident management process to detect, manage and notify ICT-related incidents?</t>
  </si>
  <si>
    <t>Does the organization record all ICT-related incidents and significant cyber threats?</t>
  </si>
  <si>
    <t>Have the organization established appropriate procedures and processes to ensure a consistent and integrated monitoring, handling and follow-up of ICT-related incidents?</t>
  </si>
  <si>
    <t xml:space="preserve">Does the procedures and processes include identification and documentation? </t>
  </si>
  <si>
    <t>Have the ICT-related incident management process within your organization put in place early warning indicators?</t>
  </si>
  <si>
    <t>Have the ICT-related incident management process within your organization established procedures to identify, track, log, categorise and classify ICT-related incidents according to their priority and severity?</t>
  </si>
  <si>
    <t>Have your organization, according to the criticality of the services impacted, in accordance with the criteria set out in Article 18(1) assigned roles and responsibilities that need to be activated for different ICT-related incident types and scenarios?</t>
  </si>
  <si>
    <t>Have your organization set out plans for communication to staff, external stakeholders and media in accordance with Article 14?</t>
  </si>
  <si>
    <t>Have your organization set out plans for notification to clients, for internal escalation procedures, including ICT-related customer complaints, as well as for the provision of information to financial entities that act as counterparts, as appropriate?</t>
  </si>
  <si>
    <t>Have your organization set out plans to ensure that at least major ICT-related incidents are reported to relevant senior management and inform the management body of at least major ICT-related incidents?</t>
  </si>
  <si>
    <t>Have your organization established ICT-related incident response procedures to mitigate impacts and ensure that services become operational and secure in a timely manner?</t>
  </si>
  <si>
    <t>Does your organization classify ICT-related incidents and determine their impact based on the following criteria?:
(a) the number and/or relevance of clients or financial counterparts affected and, where applicable, the amount or number of transactions affected by the ICT-related incident, and whether the ICT-related incident has caused reputational impact?;
(b) the duration of the ICT-related incident, including the service downtime?;
(c) the geographical spread with regard to the areas affected by the ICT-related incident, particularly if it affects more than two Member States?;
(d) the data losses that the ICT-related incident entails, in relation to availability, authenticity, integrity or confidentiality of data?;
(e) the criticality of the services affected, including the financial entity’s transactions and operations?;
(f) the economic impact, in particular direct and indirect costs and losses, of the ICT-related incident in both absolute and relative terms?</t>
  </si>
  <si>
    <t>Does your orgnization report major ICT-related incidents to the relevant competent authority using templates referred to in Article 20?</t>
  </si>
  <si>
    <t>Does your orgnization inform your clients without undue delay in the event of major ICT-related incidents that have an impact on their financial interests or significant cyber threats?</t>
  </si>
  <si>
    <t>Does your orgnization submit an initial notification, intermediate report, and final report to the relevant competent authority within specified time limits using the templates referred to in Article 20?</t>
  </si>
  <si>
    <t>Does your orgnization outsource reporting obligations to a third-party service provider but remain fully responsible for meeting the reporting requirements?</t>
  </si>
  <si>
    <t>Does your orgnization establish, maintain and review a sound and comprehensive digital operational resilience testing programme as an integral part of the ICT risk-management framework referred to in Article 6?</t>
  </si>
  <si>
    <t>When conducting the digital operational resilience testing programme referred to in paragraph 1 of this Article, does your orgnization follow a risk-based approach taking into account the criteria set out in Article 4(2)? 
a) Does your orgnization duly considering the evolving landscape of ICT risk, any specific risks to which the orgnization is or might be exposed?
b)Does your orgnization duly considering the criticality of information assets and of services provided, as well as any other factor the financial entity deems appropriate?</t>
  </si>
  <si>
    <t>Does the organization ensure that tests are undertaken by independent parties, whether internal or external?</t>
  </si>
  <si>
    <t>Where tests are undertaken by an internal tester, does the organization dedicate sufficient resources and ensure that conflicts of interest are avoided throughout the design and execution phases of the test?</t>
  </si>
  <si>
    <t xml:space="preserve">Have your orgnization established procedures and policies to prioritise, classify and remedy all issues revealed throughout the performance of the tests? </t>
  </si>
  <si>
    <t>Have your orgnization established internal validation methodologies to ascertain that all identified weaknesses, deficiencies or gaps are fully addressed?</t>
  </si>
  <si>
    <t>Does your orgnization at least yearly, conduct appropriate tests on all ICT systems and applications supporting critical or important functions?</t>
  </si>
  <si>
    <t>ICT-related incident management, classification and reporting</t>
  </si>
  <si>
    <t>Digital operational resilience testing</t>
  </si>
  <si>
    <t>Does the ICT Risk Management Framework contain these elements in order to ensure that ICT systems and data can be restored with minimum downtime: 
(a) backup policies and procedures specifying the scope of the data that is subject to the backup and the minimum frequency of the backup, based on the criticality of information or the confidentiality level of the data;
(b) restoration and recovery procedures and methods</t>
  </si>
  <si>
    <t xml:space="preserve">Does the organization have backup systems that can be activated in accordance with the backup policy and procedures as well as restoration and recovery procedures and methods. The organization needs to ensure that the activation of the backup systems shall not jeopardise the security of the network and information systems or the availability, authenticity, integrity or confidentiality of data. </t>
  </si>
  <si>
    <t>Does the organization have seperate backup systesms that are segregated from the source ICT system. The system should also be protected from any unauthorised access or ICT corruption and allow for the timely restoration of services making use of the data and system backups as necessary</t>
  </si>
  <si>
    <t xml:space="preserve">Does the organization maintain redundant ICT capacities equipped with resources, capabilities and functions that are adequate to ensure business needs? </t>
  </si>
  <si>
    <t>If the organization has central securities depositories it should maintain at least one secondary processing site endowed with edequate; resources, capabilities, functions and staffing arrangements to ensure business needs. The secondary site should: 
(a) located at a geographical distance from the primary processing site to ensure that it bears a distinct risk profile and to prevent it from being affected by the event whichhas affected the primary site;
(b) capable of ensuring the continuity of critical or important functions identically to the primary site, or providing the level of services necessary to ensure that the financial entity performs its critical operations within the recovery objectives;
(c) immediately accessible to the financial entity’s staff to ensure continuity of critical or important functions in the event that the primary processing site has become unavailable</t>
  </si>
  <si>
    <t>Central securities depositories shall maintain at least one secondary processing site endowed with adequate resources, capabilities, functions and staffing arrangements to ensure business needs. The secondary processing site shall be:
(a) located at a geographical distance from the primary processing site to ensure that it bears a distinct risk profile and to prevent it from being affected by the event whichhas affected the primary site;
(b) capable of ensuring the continuity of critical or important functions identically to the primary site, or providing the level of services necessary to ensure that the financial entity performs its critical operations within the recovery objectives;
(c) immediately accessible to the financial entity’s staff to ensure continuity of critical or important functions in the event that the primary processing site has become unavailable.</t>
  </si>
  <si>
    <t>The organization shall determine the recovery time and recovery point objectives for each function, financial entities shall take into account whether it is a critical or important function potential overall impact on market efficiency</t>
  </si>
  <si>
    <t>In determining the recovery time and recovery point objectives for each function, financial 
entities shall take into account whether it is a critical or important function and the 
potential overall impact on market efficiency. Such time objectives shall ensure that, in 
extreme scenarios, the agreed service levels are met.</t>
  </si>
  <si>
    <t xml:space="preserve">Does the organization ensure that Lessons learned sessions are held after ICT related incidents occur and the organization is recovered, all checks, including any multiple checks and reconciliations? </t>
  </si>
  <si>
    <t>When recovering from an ICT-related incident, financial entities shall perform necessary checks, including any multiple checks and reconciliations, in order to ensure that the highest level of data integrity is maintained. These checks shall also be performed when reconstructing data from external stakeholders, in order to ensure that all data is consistent between systems.</t>
  </si>
  <si>
    <t xml:space="preserve">Does the organization have the capabilities and staff to gather information on vulnerabilities, cyber threats, and ICT related incidents. The organization should also be able to analyse the impact </t>
  </si>
  <si>
    <t>Financial entities shall have in place capabilities and staff to gather information on 
vulnerabilities and cyber threats, ICT-related incidents, in particular cyber-attacks, and analyse the impact they are likely to have on their digital operational resilience.</t>
  </si>
  <si>
    <t xml:space="preserve">Does the organization have in place a method to do ICT related incident reviews "lessons learned". Both Cause and Improvements should be identified </t>
  </si>
  <si>
    <t>Financial entities shall put in place post ICT-related incident reviews after a major 
ICT-related incident disrupts their core activities, analysing the causes of disruption and 
identifying required improvements to the ICT operations or within the ICT business 
continuity policy referred to in Article 11.</t>
  </si>
  <si>
    <t xml:space="preserve">Does the organization have the capability to communicate any changes made after a serious ICT incident. </t>
  </si>
  <si>
    <t>Does the organization have the capability to create a ICT related incident reviews which shall determine whether the procedures were followed. All of these factors needs to be included:
(a) the promptness in responding to security alerts and determining the impact of ICT-related incidents and their severity;
(b) the quality and speed of performing a forensic analysis, where deemed appropriate;
(c) the effectiveness of incident escalation within the financial entity;
(d) the effectiveness of internal and external communication.</t>
  </si>
  <si>
    <t>Financial entities, other than microenterprises, shall, upon request, communicate to the competent authorities, the changes that were implemented following post ICT-related incident reviews as referred to in the first subparagraph.</t>
  </si>
  <si>
    <t>The post ICT-related incident reviews referred to in the first subparagraph shall determine whether the established procedures were followed and the actions taken were effective, including in relation to the following: 
(a) the promptness in responding to security alerts and determining the impact of ICT-related incidents and their severity; 
(b) the quality and speed of performing a forensic analysis, where deemed appropriate; 
(c) the effectiveness of incident escalation within the financial entity; 
(d) the effectiveness of internal and external communication.</t>
  </si>
  <si>
    <t xml:space="preserve">Does the organization have mechanisms to take lessons from the digital operational resilience testing. These lessons should be especially focused on Cyber Attack, activation of ICT Business Continuity Plans, and ICT response and recovery plans. </t>
  </si>
  <si>
    <t>Lessons derived from the digital operational resilience testing carried out in accordance with Articles 26 and 27 and from real life ICT-related incidents, in particular cyber-attacks, along with challenges faced upon the activation of ICT business continuity plans and ICT response and recovery plans, together with relevant information exchanged with counterparts and assessed during supervisory reviews, shall be duly incorporated on a continuous basis into the ICT risk assessment process. Those findings shall form the basis for appropriate reviews of relevant components of the ICT risk management framework referred to in Article 6(1).</t>
  </si>
  <si>
    <t xml:space="preserve">Does the organization monitor the effectiveness of the implementation of their digital operational resilience strategy? </t>
  </si>
  <si>
    <t>Financial entities shall monitor the effectiveness of the implementation of their digital operational resilience strategy set out in Article 6(8). They shall map the evolution of ICT risk over time, analyse the frequency, types, magnitude and evolution of ICT-related incidents, in particular cyber-attacks and their patterns, with a view to understanding the level of ICT risk exposure, in particular in relation to critical or important functions, and enhance the cyber maturity and preparedness of the financial entity.</t>
  </si>
  <si>
    <t xml:space="preserve">Does the ICT senior staff in the organization report at least once a year to management </t>
  </si>
  <si>
    <t>Senior ICT staff shall report at least yearly to the management body on the findings referred to in paragraph 3 and put forward recommendations.</t>
  </si>
  <si>
    <t xml:space="preserve">Does the organization have general training programs for ICT security awareness and digital operational resilience training. </t>
  </si>
  <si>
    <t>Financial entities shall develop ICT security awareness programmes and digital operational resilience training as compulsory modules in their staff training schemes. Those programmes and training shall be applicable to all employees and to senior management staff, and shall have a level of complexity commensurate to the remit of their functions. Where appropriate, financial entities shall also include ICT third-party service providers in their relevant training schemes in accordance with Article 30(2), point (i).</t>
  </si>
  <si>
    <t xml:space="preserve">Does the organization have the capabilities to monitor relevant technological developments, and how it will effect the organization? </t>
  </si>
  <si>
    <t>Financial entities, other than microenterprises, shall monitor relevant technological developments on a continuous basis, also with a view to understanding the possible impact of the deployment of such new technologies on ICT security requirements and digital operational resilience. They shall keep up-to-date with the latest ICT risk management processes, in order to effectively combat current or new forms of cyber-attacks.</t>
  </si>
  <si>
    <t xml:space="preserve">Does the organization have crisis communication plans enabling them to communicate clearly about potential ICT related Incidents </t>
  </si>
  <si>
    <t>As part of the ICT risk management framework referred to in Article 6(1), financial entities shall have in place crisis communication plans enabling a responsible disclosure of, at least, major ICT-related incidents or vulnerabilities to clients and counterparts as well as to the public, as appropriate.</t>
  </si>
  <si>
    <t xml:space="preserve">Does the organization have policies for  internal and external stakeholder communication. There should be special focus on staff that needs to part of the incident respons and staff that genreally need information </t>
  </si>
  <si>
    <t>As part of the ICT risk management framework, financial entities shall implement communication policies for internal staff and for external stakeholders. Communication policies for staff shall take into account the need to differentiate between staff involved in ICT risk management, in particular the staff responsible for response and recovery, and staff that needs to be informed.</t>
  </si>
  <si>
    <t xml:space="preserve">Does at least one person have the responsibility to implement the communication strategy for ICT related incidents </t>
  </si>
  <si>
    <t>At least one person in the financial entity shall be tasked with implementing the communication strategy for ICT-related incidents and fulfil the public and media function for that purpose.</t>
  </si>
  <si>
    <t>Financial entities shall have in place an internal governance and control framework that 
ensures an effective and prudent management of ICT risk, in accordance with Article 6(4), 
in order to achieve a high level of digital operational resilience.</t>
  </si>
  <si>
    <t>The management body of the financial entity shall define, approve, oversee and be 
responsible for the implementation of all arrangements related to the ICT risk management 
framework referred to in Article 6(1).</t>
  </si>
  <si>
    <t>(a) bear the ultimate responsibility for managing the financial entity’s ICT risk;</t>
  </si>
  <si>
    <t>(b) put in place policies that aim to ensure the maintenance of high standards of 
availability, authenticity, integrity and confidentiality, of data;</t>
  </si>
  <si>
    <t>(c) set clear roles and responsibilities for all ICT-related functions and establish 
appropriate governance arrangements to ensure effective and timely communication, 
cooperation and coordination among those functions;</t>
  </si>
  <si>
    <t>(d) bear the overall responsibility for setting and approving the digital operational 
resilience strategy as referred to in Article 6(8), including the determination of the 
appropriate risk tolerance level of ICT risk of the financial entity, as referred to in 
Article 6(8), point (b);</t>
  </si>
  <si>
    <t>(e) approve, oversee and periodically review the implementation of the financial entity’s 
ICT business continuity policy and ICT response and recovery plans, referred to, 
respectively, in Article 11(1) and (3), which may be adopted as a dedicated specific 
policy forming an integral part of the financial entity’s overall business continuity 
policy and response and recovery plan;</t>
  </si>
  <si>
    <t>(f) approve and periodically review the financial entity’s ICT internal audit plans, ICT 
audits and material modifications to them;</t>
  </si>
  <si>
    <t>(g) allocate and periodically review the appropriate budget to fulfil the financial entity’s 
digital operational resilience needs in respect of all types of resources, including 
relevant ICT security awareness programmes and digital operational resilience 
training referred to in Article 13(6), and ICT skills for all staff;</t>
  </si>
  <si>
    <t>(h) approve and periodically review the financial entity’s policy on arrangements 
regarding the use of ICT services provided by ICT third-party service providers;</t>
  </si>
  <si>
    <t>(i) put in place, at corporate level, reporting channels enabling it to be duly informed of the following:</t>
  </si>
  <si>
    <t>(i) arrangements concluded with ICT third-party service providers on the use of ICT services,</t>
  </si>
  <si>
    <t>3. Financial entities, other than microenterprises, shall establish a role in order to monitor the arrangements concluded with ICT third-party service providers on the use of ICT services, or shall designate a member of senior management as responsible for overseeing the related risk exposure and relevant documentation.</t>
  </si>
  <si>
    <t>4. Members of the management body of the financial entity shall actively keep up to date 
with sufficient knowledge and skills to understand and assess ICT risk and its impact on 
the operations of the financial entity, including by following specific training on a regular 
basis, commensurate to the ICT risk being managed.</t>
  </si>
  <si>
    <t>1. Financial entities shall have a sound, comprehensive and well-documented ICT risk 
management framework as part of their overall risk management system, which enables 
them to address ICT risk quickly, efficiently and comprehensively and to ensure a high 
level of digital operational resilience.</t>
  </si>
  <si>
    <t>2. The ICT risk management framework shall include at least strategies, policies, procedures, 
ICT protocols and tools that are necessary to duly and adequately protect all information 
assets and ICT assets, including computer software, hardware, servers, as well as to protect 
all relevant physical components and infrastructures, such as premises, data centres and 
sensitive designated areas, to ensure that all information assets and ICT assets are 
adequately protected from risks including damage and unauthorised access or usage.</t>
  </si>
  <si>
    <t>3. In accordance with their ICT risk management framework, financial entities shall minimise 
the impact of ICT risk by deploying appropriate strategies, policies, procedures, ICT 
protocols and tools. They shall provide complete and updated information on ICT risk and 
on their ICT risk management framework to the competent authorities upon their request.</t>
  </si>
  <si>
    <t>4. Financial entities, other than microenterprises, shall assign the responsibility for managing 
and overseeing ICT risk to a control function and ensure an appropriate level of 
independence of such control function in order to avoid conflicts of interest. Financial 
entities shall ensure appropriate segregation and independence of ICT risk management 
functions, control functions, and internal audit functions, according to the three lines of 
defence model, or an internal risk management and control model.</t>
  </si>
  <si>
    <t>5. The ICT risk management framework shall be documented and reviewed at least once a 
year, or periodically in the case of microenterprises, as well as upon the occurrence of 
major ICT-related incidents, and following supervisory instructions or conclusions derived 
from relevant digital operational resilience testing or audit processes. It shall be 
continuously improved on the basis of lessons derived from implementation and 
monitoring. A report on the review of the ICT risk management framework shall be 
submitted to the competent authority upon its request.</t>
  </si>
  <si>
    <t>6. The ICT risk management framework of financial entities, other than microenterprises, 
shall be subject to internal audit by auditors on a regular basis in line with the financial 
entities’ audit plan. Those auditors shall possess sufficient knowledge, skills and expertise 
in ICT risk, as well as appropriate independence. The frequency and focus of ICT audits 
shall be commensurate to the ICT risk of the financial entity.</t>
  </si>
  <si>
    <t>7. Based on the conclusions from the internal audit review, financial entities shall establish a 
formal follow-up process, including rules for the timely verification and remediation of 
critical ICT audit findings.</t>
  </si>
  <si>
    <t>8. The ICT risk management framework shall include a digital operational resilience strategy 
setting out how the framework shall be implemented. To that end, the digital operational 
resilience strategy shall include methods to address ICT risk and attain specific ICT 
objectives, by:</t>
  </si>
  <si>
    <t>(a) explaining how the ICT risk management framework supports the financial entity’s 
business strategy and objectives;</t>
  </si>
  <si>
    <t>(b) establishing the risk tolerance level for ICT risk, in accordance with the risk appetite 
of the financial entity, and analysing the impact tolerance for ICT disruptions;</t>
  </si>
  <si>
    <t>(c) setting out clear information security objectives, including key performance 
indicators and key risk metrics;</t>
  </si>
  <si>
    <t>(d) explaining the ICT reference architecture and any changes needed to reach specific 
business objectives;</t>
  </si>
  <si>
    <t>(e) outlining the different mechanisms put in place to detect ICT-related incidents, 
prevent their impact and provide protection from it;</t>
  </si>
  <si>
    <t>(f) evidencing the current digital operational resilience situation on the basis of the 
number of major ICT-related incidents reported and the effectiveness of preventive 
measures;</t>
  </si>
  <si>
    <t>(g) implementing digital operational resilience testing, in accordance with Chapter IV of 
this Regulation;</t>
  </si>
  <si>
    <t>(h) outlining a communication strategy in the event of ICT-related incidents the 
disclosure of which is required in accordance with Article 14.</t>
  </si>
  <si>
    <t xml:space="preserve">Does the organization have a holistic ICT multi-vendor strategy at group level </t>
  </si>
  <si>
    <t>9. Financial entities may, in the context of the digital operational resilience strategy referred 
to in paragraph 8, define a holistic ICT multi-vendor strategy, at group or entity level, 
showing key dependencies on ICT third-party service providers and explaining the 
rationale behind the procurement mix of ICT third-party service providers.</t>
  </si>
  <si>
    <t>The organization can outsource the task of verifying compliance of the ICT Risk Management both to intra-group and external undertakers</t>
  </si>
  <si>
    <t>10. Financial entities may, in accordance with Union and national sectoral law, outsource the 
tasks of verifying compliance with ICT risk management requirements to intra-group or 
external undertakings. In case of such outsourcing, the financial entity remains fully 
responsible for the verification of compliance with the ICT risk management requirements.</t>
  </si>
  <si>
    <t>(a) appropriate to the magnitude of operations supporting the conduct of their activities, in accordance with the proportionality principle as referred to in Article 4;</t>
  </si>
  <si>
    <t>(c) equipped with sufficient capacity to accurately process the data necessary for the 
performance of activities and the timely provision of services, and to deal with peak orders, 
message or transaction volumes, as needed, including where new technology is introduced;</t>
  </si>
  <si>
    <t>(d) technologically resilient in order to adequately deal with additional information processing 
needs as required under stressed market conditions or other adverse situations.</t>
  </si>
  <si>
    <t>As part of the ICT risk management framework referred to in Article 6(1), financial 
entities shall identify, classify and adequately document all ICT supported business 
functions, roles and responsibilities, the information assets and ICT assets supporting those 
functions, and their roles and dependencies in relation to ICT risk. Financial entities shall 
review as needed, and at least yearly, the adequacy of this classification and of any 
relevant documentation.</t>
  </si>
  <si>
    <t>2. Financial entities shall, on a continuous basis, identify all sources of ICT risk, in particular the risk exposure to and from other financial entities, and assess cyber threats and ICT vulnerabilities relevant to their ICT supported business functions, information assets and ICT assets. Financial entities shall review on a regular basis, and at least yearly, the risk scenarios impacting them.</t>
  </si>
  <si>
    <t>3. Financial entities, other than microenterprises, shall perform a risk assessment upon each 
major change in the network and information system infrastructure, in the processes or 
procedures affecting their ICT supported business functions, information assets or ICT 
assets.</t>
  </si>
  <si>
    <t>4. Financial entities shall identify all information assets and ICT assets, including those on 
remote sites, network resources and hardware equipment, and shall map those considered 
critical. They shall map the configuration of the information assets and ICT assets and the 
links and interdependencies between the different information assets and ICT assets.</t>
  </si>
  <si>
    <t>5. Financial entities shall identify and document all processes that are dependent on ICT 
third-party service providers, and shall identify interconnections with ICT third-party 
service providers that provide services that support critical or important functions.</t>
  </si>
  <si>
    <t>6. For the purposes of paragraphs 1, 4 and 5, financial entities shall maintain relevant 
inventories and update them periodically and every time any major change as referred to in 
paragraph 3 occurs.</t>
  </si>
  <si>
    <t>7. Financial entities, other than microenterprises, shall on a regular basis, and at least yearly, 
conduct a specific ICT risk assessment on all legacy ICT systems and, in any case before 
and after connecting technologies, applications or systems.</t>
  </si>
  <si>
    <t>For the purposes of adequately protecting ICT systems and with a view to organising response measures, financial entities shall continuously monitor and control the security and functioning of ICT systems and tools and shall minimise the impact of ICT risk on ICT systems through the deployment of appropriate ICT security tools, policies and procedures.</t>
  </si>
  <si>
    <t>Financial entities shall design, procure and implement ICT security policies, procedures, protocols and tools that aim to ensure the resilience, continuity and availability of ICT systems, in particular for those supporting critical or important functions, and to maintain high standards of availability, authenticity, integrity and confidentiality of data, whether at rest, in use or in transit.</t>
  </si>
  <si>
    <t>3.</t>
  </si>
  <si>
    <t>Have the organization designed, procured, and implemented ICT security policies, procedures, protocols and tools to ensure the resilience, continuity, and availability of ICT systems, particularly for critical or important functions, and to maintain high standards of data availability, authenticity, integrity, and confidentiality?</t>
  </si>
  <si>
    <t>Have the organization implemented continuous monitoring and control mechanisms for the security and functioning of ICT systems and tools, as well as minimization measures for the impact of ICT risk?</t>
  </si>
  <si>
    <t>In order to achieve the objectives referred to in paragraph 2, financial entities shall use ICT solutions and processes that are appropriate in accordance with Article 4. Those ICT solutions and processes shall: (a) ensure the security of the means of transfer of data; (b) minimise the risk of corruption or loss of data, unauthorised access and technical flaws that may hinder business activity; (c) prevent the lack of availability, the impairment of the authenticity and integrity, the 
breaches of confidentiality and the loss of data; (d) ensure that data is protected from risks arising from data management, including poor administration, processing-related risks and human error.</t>
  </si>
  <si>
    <t xml:space="preserve">Have the organization used ICT solutions and processes that are appropriate and meet the requirements of ensuring secure data transfer means and minimizing the risk of data corruption, loss, unauthorised access, and technical flaws that may hinder business activity, prevent lack of availability, and ensure that data is protected from risks arising from data management? </t>
  </si>
  <si>
    <t>4. As part of the ICT risk management framework referred to in Article 6(1), financial entities shall: (a) develop and document an information security policy defining rules to protect the availability, authenticity, integrity and confidentiality of data, information assets and ICT assets, including those of their customers, where applicable;(b) following a risk-based approach, establish a sound network and infrastructure management structure using appropriate techniques, methods and protocols that may include implementing automated mechanisms to isolate affected information assets in the event of cyber-attacks;(c) implement policies that limit the physical or logical access to information assets and ICT assets to what is required for legitimate and approved functions and activities only, and establish to that end a set of policies, procedures and controls that address access rights and ensure a sound administration thereof (d) implement policies and protocols for strong authentication mechanisms, based on relevant standards and dedicated control systems, and protection measures of cryptographic keys whereby data is encrypted based on results of approved data classification and ICT risk assessment processes;(e) implement documented policies, procedures and controls for ICT change management, including changes to software, hardware, firmware components, systems or security parameters, that are based on a risk assessment approach and are an integral part of the financial entity’s overall change management process, in order to ensure that all changes to ICT systems are recorded, tested, assessed, approved, implemented and verified in a controlled manner; (f) have appropriate and comprehensive documented policies for patches and updates.</t>
  </si>
  <si>
    <t xml:space="preserve">Does the organization as part of their ICT Risk Management framwork cover: </t>
  </si>
  <si>
    <t xml:space="preserve">A information security policy defining rules to protect the availability, authenticity,  integrity, and confidentiality </t>
  </si>
  <si>
    <t>(a) develop and document an information security policy defining rules to protect the 
availability, authenticity, integrity and confidentiality of data, information assets 
and ICT assets, including those of their customers, where applicable;</t>
  </si>
  <si>
    <t>Following a risk-based approach, established a sound network and infrastructure management</t>
  </si>
  <si>
    <t>(b) following a risk-based approach, establish a sound network and infrastructure 
management structure using appropriate techniques, methods and protocols that may 
include implementing automated mechanisms to isolate affected information assets 
in the event of cyber-attacks;</t>
  </si>
  <si>
    <t xml:space="preserve">Implement policies that limit the physical or logical access to information assetrs and ICT assets </t>
  </si>
  <si>
    <t>(c) implement policies that limit the physical or logical access to information assets and 
ICT assets to what is required for legitimate and approved functions and activities 
only, and establish to that end a set of policies, procedures and controls that address 
access rights and ensure a sound administration thereof;</t>
  </si>
  <si>
    <t xml:space="preserve"> implement policies and protocols for strong authentication mechanisms, based on 
relevant standards and dedicated control systems, and protection measures of 
cryptographic keys whereby data is encrypted based on results of approved data 
classification and ICT risk assessment processes</t>
  </si>
  <si>
    <t>implement policies and protocols for strong authentication mechanisms, based on relevant standards and dedicated control systems, and protection measures of cryptographic keys whereby data is encrypted based on results of approved data classification and ICT risk assessment processes</t>
  </si>
  <si>
    <t>implement documented policies, procedures and controls for ICT change 
management,</t>
  </si>
  <si>
    <t>(e) implement documented policies, procedures and controls for ICT change 
management, including changes to software, hardware, firmware components, 
systems or security parameters, that are based on a risk assessment approach and are 
an integral part of the financial entity’s overall change management process, in order 
to ensure that all changes to ICT systems are recorded, tested, assessed, approved, 
implemented and verified in a controlled manner;</t>
  </si>
  <si>
    <t>(f) have appropriate and comprehensive documented policies for patches and updates.</t>
  </si>
  <si>
    <t>have appropriate and comprehensive documented policies for patches and updates.</t>
  </si>
  <si>
    <t>1. Financial entities shall have in place mechanisms to promptly detect anomalous activities, 
in accordance with Article 17, including ICT network performance issues and ICT-related 
incidents, and to identify potential material single points of failure.</t>
  </si>
  <si>
    <t>2. The detection mechanisms referred to in paragraph 1 shall enable multiple layers of 
control, define alert thresholds and criteria to trigger and initiate ICT-related incident 
response processes, including automatic alert mechanisms for relevant staff in charge of 
ICT-related incident response.</t>
  </si>
  <si>
    <t>All detection mechanisms referred to in the first subparagraph shall be regularly tested in 
accordance with Article 25.</t>
  </si>
  <si>
    <t>Financial entities shall devote sufficient resources and capabilities to monitor user activity, 
the occurrence of ICT anomalies and ICT-related incidents, in particular cyber-attacks.</t>
  </si>
  <si>
    <t>Data reporting service providers shall, in addition, have in place systems that can 
effectively check trade reports for completeness, identify omissions and obvious errors, 
and request re-transmission of those reports.</t>
  </si>
  <si>
    <t>1. As part of the ICT risk management framework referred to in Article 6(1) and based on the 
identification requirements set out in Article 8, financial entities shall put in place a 
comprehensive ICT business continuity policy, which may be adopted as a dedicated 
specific policy, forming an integral part of the overall business continuity policy of the 
financial entity.</t>
  </si>
  <si>
    <t>2. Financial entities shall implement the ICT business continuity policy through dedicated, appropriate and documented arrangements, plans, procedures and mechanisms aiming to:(a) ensure the continuity of the financial entity’s critical or important functions;(b) quickly, appropriately and effectively respond to, and resolve, all ICT-related incidents in a way that limits damage and prioritises the resumption of activities and 
recovery actions;(c) activate, without delay, dedicated plans that enable containment measures, processes and technologies suited to each type of ICT-related incident and prevent further damage, as well as tailored response and recovery procedures established in accordance with Article 12;(d) estimate preliminary impacts, damages and losses;(e) set out communication and crisis management actions that ensure that updated information is transmitted to all relevant internal staff and external stakeholders in accordance with Article 14, and report to the competent authorities in accordance with Article 19.</t>
  </si>
  <si>
    <t>3. As part of the ICT risk management framework referred to in Article 6(1), financial entities shall implement associated ICT response and recovery plans which, in the case of financial entities other than microenterprises, shall be subject to independent internal audit reviews.</t>
  </si>
  <si>
    <t>Are all ICT business continuity plans especially with regards to Critical or Important functions outsourced tested appropriately is this done in your organization?</t>
  </si>
  <si>
    <t>Financial entities shall put in place, maintain and periodically test appropriate ICT business 
continuity plans, notably with regard to critical or important functions outsourced or 
contracted through arrangements with ICT third-party service providers.</t>
  </si>
  <si>
    <t>As part of their comprehensive ICT risk management, financial entities shall:
(a) test the ICT business continuity plans and the ICT response and recovery plans in 
relation to ICT systems supporting all functions at least yearly, as well as in the event 
of any substantive changes to ICT systems supporting critical or important functions;
(b) test the crisis communication plans established in accordance with Article 14.</t>
  </si>
  <si>
    <t>Financial entities, other than microenterprises, shall have a crisis management function, 
which, in the event of activation of their ICT business continuity plans or ICT response and 
recovery plans, shall, inter alia, set out clear procedures to manage internal and external 
crisis communications in accordance with Article 14.</t>
  </si>
  <si>
    <t>Financial entities shall keep readily accessible records of activities before and during 
disruption events when their ICT business continuity plans and ICT response and recovery 
plans are activated.</t>
  </si>
  <si>
    <t>Central securities depositories shall provide the competent authorities with copies of the 
results of the ICT business continuity tests, or of similar exercises.</t>
  </si>
  <si>
    <t xml:space="preserve"> Financial entities, other than microenterprises, shall report to the competent authorities, 
upon their request, an estimation of aggregated annual costs and losses caused by 
major ICT-related incidents.</t>
  </si>
  <si>
    <t>Does your organization as part of the business continuity policy conduct a Business Impact Analysis of their exposures to severe business disruption?</t>
  </si>
  <si>
    <t>As part of the overall business continuity policy, financial entities shall conduct a business 
impact analysis (BIA) of their exposures to severe business disruptions. Under the BIA, 
financial entities shall assess the potential impact of severe business disruptions by means 
of quantitative and qualitative criteria, using internal and external data and scenario 
analysis, as appropriate. The BIA shall consider the criticality of identified and mapped 
business functions, support processes, third-party dependencies and information assets, and 
their interdependencies. Financial entities shall ensure that ICT assets and ICT services are 
designed and used in full alignment with the BIA, in particular with regard to adequately 
ensuring the redundancy of all critical components.</t>
  </si>
  <si>
    <t>For the purpose of ensuring the restoration of ICT systems and data with minimum 
downtime, limited disruption and loss, as part of their ICT risk management framework, 
financial entities shall develop and document:
(a) backup policies and procedures specifying the scope of the data that is subject to the 
backup and the minimum frequency of the backup, based on the criticality of 
information or the confidentiality level of the data;
(b) restoration and recovery procedures and methods</t>
  </si>
  <si>
    <t>Financial entities shall set up backup systems that can be activated in accordance with the 
backup policies and procedures, as well as restoration and recovery procedures and 
methods. The activation of backup systems shall not jeopardise the security of the network 
and information systems or the availability, authenticity, integrity or confidentiality of 
data. Testing of the backup procedures and restoration and recovery procedures and 
methods shall be undertaken periodically.</t>
  </si>
  <si>
    <t>When restoring backup data using own systems, financial entities shall use ICT systems 
that are physically and logically segregated from the source ICT system. The ICT systems 
shall be securely protected from any unauthorised access or ICT corruption and allow for 
the timely restoration of services making use of data and system backups as necessary.</t>
  </si>
  <si>
    <t>Financial entities, other than microenterprises, shall maintain redundant ICT capacities 
equipped with resources, capabilities and functions that are adequate to ensure business 
needs. Microenterprises shall assess the need to maintain such redundant ICT capacities 
based on their risk profile.</t>
  </si>
  <si>
    <t>Priority</t>
  </si>
  <si>
    <t>Yes</t>
  </si>
  <si>
    <t>Partly</t>
  </si>
  <si>
    <t>No</t>
  </si>
  <si>
    <t xml:space="preserve">Does the organization manage ICT third party Risk as an integrated part of the overall ICT risk management framework? </t>
  </si>
  <si>
    <t>1. Financial entities shall manage ICT third-party risk as an integral component of ICT risk 
within their ICT risk management framework as referred to in Article 6(1), and in 
accordance with the following principles:</t>
  </si>
  <si>
    <t>(a) financial entities that have in place contractual arrangements for the use of ICT 
services to run their business operations shall, at all times, remain fully responsible 
for compliance with, and the discharge of, all obligations under this Regulation and 
applicable financial services law;</t>
  </si>
  <si>
    <t>financial entities’ management of ICT third-party risk shall be implemented in light 
of the principle of proportionality, taking into account:
(i) the nature, scale, complexity and importance of ICT-related dependencies,
(ii) the risks arising from contractual arrangements on the use of ICT services 
concluded with ICT third-party service providers, taking into account the 
criticality or importance of the respective service, process or function, and the 
potential impact on the continuity and availability of financial services and 
activities, at individual and at group level</t>
  </si>
  <si>
    <t>As part of their ICT risk management framework, financial entities shall maintain and 
update at entity level, and at sub-consolidated and consolidated levels, a register of 
information in relation to all contractual arrangements on the use of ICT services provided 
by ICT third-party service providers.</t>
  </si>
  <si>
    <t xml:space="preserve">Has the organization  adapted and yearly reviewed a strategy on ICT third-party risk taking into account a multi-vendor strategy? </t>
  </si>
  <si>
    <t>2. As part of their ICT risk management framework, financial entities, other than entities 
referred to in Article 16(1), first subparagraph, and other than microenterprises, shall 
adopt, and regularly review, a strategy on ICT third-party risk, taking into account the 
multi-vendor strategy referred to in Article 6(9), where applicable. The strategy on ICT 
third-party risk shall include a policy on the use of ICT services supporting critical or 
important functions provided by ICT third-party service providers and shall apply on an 
individual basis and, where relevant, on a sub-consolidated and consolidated basis. The 
management body shall, on the basis of an assessment of the overall risk profile of the 
financial entity and the scale and complexity of the business services, regularly review the 
risks identified in respect to contractual arrangements on the use of ICT services 
supporting critical or important functions.</t>
  </si>
  <si>
    <t xml:space="preserve">Does the above mentioned strategy provide a policy for vendors serving  critical or important functions? </t>
  </si>
  <si>
    <t xml:space="preserve">Does the organizations management conduct an overall risk profile based on the third party risk? </t>
  </si>
  <si>
    <t xml:space="preserve">Does the organization keep a register for all information relating to ICT third party service providers this needs to be both sub-consolidated and consolidated? </t>
  </si>
  <si>
    <t>As part of their ICT risk management framework, financial entities shall maintain and 
update at entity level, and at sub-consolidated and consolidated levels, a register of 
information in relation to all contractual arrangements on the use of ICT services provided 
by ICT third-party service providers</t>
  </si>
  <si>
    <t xml:space="preserve">Are all contractual arrangements documented and distinguishing those ICT services supporting critical or important </t>
  </si>
  <si>
    <t>The contractual arrangements referred to in the first subparagraph shall be appropriately 
documented, distinguishing between those that cover ICT services supporting critical or 
important functions and those that do not.</t>
  </si>
  <si>
    <t xml:space="preserve">Does the organization report regularly (yearly) to the competent authorities: which services are provided. </t>
  </si>
  <si>
    <t>Financial entities shall report at least yearly to the competent authorities on the number of 
new arrangements on the use of ICT services, the categories of ICT third-party service 
providers, the type of contractual arrangements and the ICT services and functions which 
are being provided.</t>
  </si>
  <si>
    <t xml:space="preserve">Does the organization have the capabilities to share the information with comptetent authorities upon request? </t>
  </si>
  <si>
    <t>Financial entities shall make available to the competent authority, upon its request, the full 
register of information or, as requested, specified sections thereof, along with any 
information deemed necessary to enable the effective supervision of the financial entity.</t>
  </si>
  <si>
    <t>Financial entities shall inform the competent authority in a timely manner about any 
planned contractual arrangement on the use of ICT services supporting critical or important 
functions as well as when a function has become critical or important.</t>
  </si>
  <si>
    <t xml:space="preserve">Does the organization have the capability to inform authorities in a timely manner about any planned contractual arrangement on the use of ICT services supporting Critical or Important Functions? </t>
  </si>
  <si>
    <t>Does the organization before entering into a contractual arrangement on the use of ICT services ensure: 
(a) assess whether the contractual arrangement covers the use of ICT services supporting 
a critical or important function;
(b) assess if supervisory conditions for contracting are met;
(c) identify and assess all relevant risks in relation to the contractual arrangement, 
including the possibility that such contractual arrangement may contribute to 
reinforcing ICT concentration risk as referred to in Article 29;
(d) undertake all due diligence on prospective ICT third-party service providers and 
ensure throughout the selection and assessment processes that the ICT third-party 
service provider is suitable;
(e) identify and assess conflicts of interest that the contractual arrangement may cause.</t>
  </si>
  <si>
    <t>4. Before entering into a contractual arrangement on the use of ICT services, financial entities 
shall:
(a) assess whether the contractual arrangement covers the use of ICT services supporting 
a critical or important function;
(b) assess if supervisory conditions for contracting are met;
(c) identify and assess all relevant risks in relation to the contractual arrangement, 
including the possibility that such contractual arrangement may contribute to 
reinforcing ICT concentration risk as referred to in Article 29;
(d) undertake all due diligence on prospective ICT third-party service providers and 
ensure throughout the selection and assessment processes that the ICT third-party 
service provider is suitable;
(e) identify and assess conflicts of interest that the contractual arrangement may cause</t>
  </si>
  <si>
    <t xml:space="preserve">Does the organization ensure that all ICT third-parties which they enter into agreement with comply with appropriate information security standards </t>
  </si>
  <si>
    <t>Financial entities may only enter into contractual arrangements with ICT third-party 
service providers that comply with appropriate information security standards. When those 
contractual arrangements concern critical or important functions, financial entities shall, 
prior to concluding the arrangements, take due consideration of the use, by ICT third-party 
service providers, of the most up-to-date and highest quality information 
security standards.</t>
  </si>
  <si>
    <t xml:space="preserve">Does the organization have exercise access, inspection and audit rights over the ICT third-party service provider? Does the organization use a risk based approach to pre-determine the frequence of audits and inspections? </t>
  </si>
  <si>
    <t>In exercising access, inspection and audit rights over the ICT third-party service provider, 
financial entities shall, on the basis of a risk-based approach, pre-determine the frequency 
of audits and inspections as well as the areas to be audited through adhering to commonly 
accepted audit standards in line with any supervisory instruction on the use and 
incorporation of such audit standards.</t>
  </si>
  <si>
    <t>Where contractual arrangements concluded with ICT third-party service providers on the 
use of ICT services entail high technical complexity, the financial entity shall verify that 
auditors, whether internal or external, or a pool of auditors, possess appropriate skills and 
knowledge to effectively perform the relevant audits and assessments.</t>
  </si>
  <si>
    <t>Does the organization ensure that all inspectors and auditors have the appropriate skills?</t>
  </si>
  <si>
    <t>7. Financial entities shall ensure that contractual arrangements on the use of ICT services 
may be terminated in any of the following circumstances:
(a) significant breach by the ICT third-party service provider of applicable laws, 
regulations or contractual terms;
(b) circumstances identified throughout the monitoring of ICT third-party risk that are 
deemed capable of altering the performance of the functions provided through the 
contractual arrangement, including material changes that affect the arrangement or 
the situation of the ICT third-party service provider;
(c) ICT third-party service provider’s evidenced weaknesses pertaining to its overall ICT 
risk management and in particular in the way it ensures the availability, authenticity, 
integrity and, confidentiality, of data, whether personal or otherwise sensitive data, or 
non-personal data;
(d) where the competent authority can no longer effectively supervise the financial entity 
as a result of the conditions of, or circumstances related to, the respective contractual 
arrangement.</t>
  </si>
  <si>
    <t xml:space="preserve">Does the organization ensure that all rights to termination of contracts are possible in case of the following:
(a) significant breach by the ICT third-party service provider of applicable laws, 
regulations or contractual terms;
(b) circumstances identified throughout the monitoring of ICT third-party risk that are 
deemed capable of altering the performance of the functions provided through the 
contractual arrangement, including material changes that affect the arrangement or 
the situation of the ICT third-party service provider;
(c) ICT third-party service provider’s evidenced weaknesses pertaining to its overall ICT 
risk management and in particular in the way it ensures the availability, authenticity, 
integrity and, confidentiality, of data, whether personal or otherwise sensitive data, or 
non-personal data;
(d) where the competent authority can no longer effectively supervise the financial entity 
as a result of the conditions of, or circumstances related to, the respective contractual 
arrangement. </t>
  </si>
  <si>
    <t xml:space="preserve">Does the organizations have exit strategies for all services providers providing services to critical or important functions </t>
  </si>
  <si>
    <t>or ICT services supporting critical or important functions, financial entities shall put in 
place exit strategies. The exit strategies shall take into account risks that may emerge at the 
level of ICT third-party service providers, in particular a possible failure on their part, a 
deterioration of the quality of the ICT services provided, any business disruption due to 
inappropriate or failed provision of ICT services or any material risk arising in relation to 
the appropriate and continuous deployment of the respective ICT service, or the 
termination of contractual arrangements with ICT third-party service providers under any 
of the circumstances listed in paragraph 7.
Financial entities shall ensure that they are able to exit contractual arrangements without:
(a) disruption to their business activities,
(b) limiting compliance with regulatory requirements,
(c) detriment to the continuity and quality of services provided to clients.
Exit plans shall be comprehensive, documented and, in accordance with the criteria set out 
in Article 4(2), shall be sufficiently tested and reviewed periodically
Financial entities shall identify alternative solutions and develop transition plans enabling 
them to remove the contracted ICT services and the relevant data from the ICT third-party 
service provider and to securely and integrally transfer them to alternative providers or 
reincorporate them in-house.
Financial entities shall have appropriate contingency measures in place to maintain 
business continuity in the event of the circumstances referred to in the first subparagraph.</t>
  </si>
  <si>
    <t xml:space="preserve">Does the organization have alternative plans for the previously named service providers providing services to critical or important functions? </t>
  </si>
  <si>
    <t>Financial entities shall identify alternative solutions and develop transition plans enabling 
them to remove the contracted ICT services and the relevant data from the ICT third-party 
service provider and to securely and integrally transfer them to alternative providers or 
reincorporate them in-house.</t>
  </si>
  <si>
    <t xml:space="preserve">Does the organization have contingency and business continuity plans for those providers? </t>
  </si>
  <si>
    <t>Financial entities shall have appropriate contingency measures in place to maintain 
business continuity in the event of the circumstances referred to in the first subparagraph.</t>
  </si>
  <si>
    <t xml:space="preserve"> When performing the identification and assessment of risks referred to in Article 28(4), 
point (c), financial entities shall also take into account whether the envisaged conclusion of 
a contractual arrangement in relation to ICT services supporting critical or important 
functions would lead to any of the following:
(a) contracting an ICT third-party service provider that is not easily substitutable; or
(b) having in place multiple contractual arrangements in relation to the provision of ICT 
services supporting critical or important functions with the same ICT third-party 
service provider or with closely connected ICT third-party service providers.
Financial entities shall weigh the benefits and costs of alternative solutions, such as the use 
of different ICT third-party service providers, taking into account if and how envisaged 
solutions match the business needs and objectives set out in their digital resilience strategy.</t>
  </si>
  <si>
    <t>Where the contractual arrangements on the use of ICT services supporting critical or 
important functions include the possibility that an ICT third-party service provider further 
subcontracts ICT services supporting a critical or important function to other ICT third_x0002_party service providers, financial entities shall weigh benefits and risks that may arise in 
connection with such subcontracting, in particular in the case of an ICT subcontractor 
established in a third-country.</t>
  </si>
  <si>
    <t>If the service provider in a third country the organization should; ensure that there is a possibility for effective enforcement of the law?</t>
  </si>
  <si>
    <t>Where contractual arrangements on the use of ICT services supporting critical or important 
functions are concluded with an ICT third-party service provider established in a third 
country, financial entities shall, in addition to the considerations referred to in the second 
subparagraph, also consider the compliance with Union data protection rules and the</t>
  </si>
  <si>
    <t>Where contractual arrangements concern ICT services supporting critical or important 
functions, financial entities shall duly consider the insolvency law provisions that would 
apply in the event of the ICT third-party service provider’s bankruptcy as well as any 
constraint that may arise in respect to the urgent recovery of the financial entity’s data.</t>
  </si>
  <si>
    <t>Where contractual arrangements on the use of ICT services supporting critical or important 
functions are concluded with an ICT third-party service provider established in a third 
country, financial entities shall, in addition to the considerations referred to in the second 
subparagraph, also consider the compliance with Union data protection rules and the 
effective enforcement of the law in that third country.</t>
  </si>
  <si>
    <t>Where the contractual arrangements on the use of ICT services supporting critical or 
important functions provide for subcontracting, financial entities shall assess whether and 
how potentially long or complex chains of subcontracting may impact their ability to fully 
monitor the contracted functions and the ability of the competent authority to effectively 
supervise the financial entity in that respect.</t>
  </si>
  <si>
    <t>The rights and obligations of the financial entity and of the ICT third-party service provider shall be clearly allocated and set out in writing. The full contract shall include the service level agreements and be documented in one written document which shall be available to the parties on paper, or in a document with another downloadable, durable and accessible format</t>
  </si>
  <si>
    <t>A clear and complete description of all functions and ICT services to be provided by the ICT third-party service provider, indicating whether subcontracting of an ICT service supporting a critical or important function, or material parts thereof, is permitted and, when that is the case, the conditions applying to such subcontracting.</t>
  </si>
  <si>
    <t>The locations, namely the regions or countries, where the contracted or subcontracted functions and ICT services are to be provided and where data is to be processed, including the storage location, and the requirement for the ICT third-party service provider to notify the financial entity in advance if it envisages changing such locations.</t>
  </si>
  <si>
    <t>(c)</t>
  </si>
  <si>
    <t>Provisions on availability, authenticity, integrity, and confidentiality for data protection, including personal data.</t>
  </si>
  <si>
    <t>(d)</t>
  </si>
  <si>
    <t>Provisions for ensuring access, recovery, and return of personal and non-personal data in the event of the ICT third-party service provider's insolvency, resolution, or discontinuation of business operations or termination of the contractual arrangement.</t>
  </si>
  <si>
    <t>(e)</t>
  </si>
  <si>
    <t>Service level descriptions, including updates and revisions thereof.</t>
  </si>
  <si>
    <t>(f)</t>
  </si>
  <si>
    <t>Obligation of the ICT third-party service provider to provide assistance to the financial entity, at no additional cost, or at a cost that is determined ex-ante, in case of an ICT incident related to the ICT service provided to the financial entity.</t>
  </si>
  <si>
    <t>Obligation of the ICT third-party service provider to fully cooperate with the competent authorities and resolution authorities of the financial entity, including persons appointed by them.</t>
  </si>
  <si>
    <t>Termination rights and related minimum notice periods for the termination of the contractual arrangement, in accordance with the expectations of competent authorities and resolution authorities.</t>
  </si>
  <si>
    <t>he full service level descriptions, including updates and revisions with precise quantitative and qualitative performance targets, to allow effective monitoring and enable corrective actions to be taken when agreed service levels are not met.</t>
  </si>
  <si>
    <t>(b)</t>
  </si>
  <si>
    <t>Notice periods and reporting obligations of the ICT third-party service provider to the financial entity, including notification of any development that might have a material impact on the ICT third-party service provider’s ability to effectively provide the ICT services supporting critical or important functions.</t>
  </si>
  <si>
    <t>Requirements for the ICT third-party service provider to implement and test business contingency plans and have in place ICT security measures, tools, and policies that provide an appropriate level of security for the provision of services in line with the financial entity's regulatory framework.</t>
  </si>
  <si>
    <t>The obligation of the ICT third-party service provider to participate and fully cooperate in the financial entity’s TLPT as referred to in Articles 26 and 27.</t>
  </si>
  <si>
    <t>The right to monitor, on an ongoing basis, the ICT third-party service provider’s performance, including unrestricted rights of access, inspection, and audit by the financial entity or an appointed third party, and the obligation of the ICT third-party service provider to fully cooperate during the onsite inspections and audits performed by competent authorities, the Lead Overseer, financial entity, or an appointed third party. The right to agree on alternative assurance levels if other clients' rights are affected, and the obligation to provide details on the scope, procedures, and frequency of such inspections and audits.</t>
  </si>
  <si>
    <t>3 (a)</t>
  </si>
  <si>
    <t>Exit strategies, including the establishment of a mandatory adequate transition period, during which the ICT third-party service provider will continue providing the respective functions or ICT services, allowing the financial entity to migrate to another ICT third-party service provider or change to in-house solutions consistent with the complexity of the service provided.
(i) during which the ICT third-party service provider will continue providing the 
respective functions, or ICT services, with a view to reducing the risk of 
disruption at the financial entity or to ensure its effective resolution and 
restructuring;
(ii) allowing the financial entity to migrate to another ICT third-party service 
provider or change to in-house solutions consistent with the complexity of the 
service provided.</t>
  </si>
  <si>
    <t>When negotiating contractual arrangements, financial entities and ICT third-party service 
providers shall consider the use of standard contractual clauses developed by public 
authorities for specific services.</t>
  </si>
  <si>
    <t>Question</t>
  </si>
  <si>
    <t xml:space="preserve">DORA Text </t>
  </si>
  <si>
    <t>Do you meet the requirements today?</t>
  </si>
  <si>
    <t>% requirements meet</t>
  </si>
  <si>
    <t xml:space="preserve">Comments/Tasks </t>
  </si>
  <si>
    <t xml:space="preserve">Percentage done </t>
  </si>
  <si>
    <t xml:space="preserve">Task </t>
  </si>
  <si>
    <t xml:space="preserve">Responsible </t>
  </si>
  <si>
    <t>Due date</t>
  </si>
  <si>
    <t>Tasks to meet DORA requirments</t>
  </si>
  <si>
    <t>Financial entities shall define, establish and implement an ICT-related incident 
management process to detect, manage and notify ICT-related incidents.</t>
  </si>
  <si>
    <t>Financial entities shall record all ICT-related incidents and significant cyber threats. 
Financial entities shall establish appropriate procedures and processes to ensure a 
consistent and integrated monitoring, handling and follow-up of ICT-related incidents, to 
ensure that root causes are identified, documented and addressed in order to prevent the 
occurrence of such incidents.</t>
  </si>
  <si>
    <t>The ICT-related incident management process referred to in paragraph 1 shall:
(a) put in place early warning indicators;</t>
  </si>
  <si>
    <t>establish procedures to identify, track, log, categorise and classify ICT-related 
incidents according to their priority and severity and according to the criticality of 
the services impacted, in accordance with the criteria set out in Article 18(1);</t>
  </si>
  <si>
    <t>(c) assign roles and responsibilities that need to be activated for different ICT-related 
incident types and scenarios;</t>
  </si>
  <si>
    <t>(d) set out plans for communication to staff, external stakeholders and media in 
accordance with Article 14 and for notification to clients, for internal escalation 
procedures, including ICT-related customer complaints, as well as for the provision 
of information to financial entities that act as counterparts, as appropriate;</t>
  </si>
  <si>
    <t>(e) ensure that at least major ICT-related incidents are reported to relevant senior 
management and inform the management body of at least major ICT-related 
incidents, explaining the impact, response and additional controls to be established as 
a result of such ICT-related incidents;</t>
  </si>
  <si>
    <t>set out plans for communication to staff, external stakeholders and media in 
accordance with Article 14 and for notification to clients, for internal escalation 
procedures, including ICT-related customer complaints, as well as for the provision 
of information to financial entities that act as counterparts, as appropriate;</t>
  </si>
  <si>
    <t>Does your organization explaining the impact, response and additional controls established as a result of such ICT-related incidents?</t>
  </si>
  <si>
    <t>establish ICT-related incident response procedures to mitigate impacts and ensure 
that services become operational and secure in a timely manner.</t>
  </si>
  <si>
    <t>Financial entities shall classify ICT-related incidents and shall determine their impact 
based on the following criteria:
(a) the number and/or relevance of clients or financial counterparts affected and, where 
applicable, the amount or number of transactions affected by the ICT-related 
incident, and whether the ICT-related incident has caused reputational impact;
(b) the duration of the ICT-related incident, including the service downtime;
(c) the geographical spread with regard to the areas affected by the ICT-related incident, 
particularly if it affects more than two Member States;
(d) the data losses that the ICT-related incident entails, in relation to availability, 
authenticity, integrity or confidentiality of data;
(e) the criticality of the services affected, including the financial entity’s transactions 
and operations;
(f) the economic impact, in particular direct and indirect costs and losses, of the ICT_x0002_related incident in both absolute and relative terms.</t>
  </si>
  <si>
    <t xml:space="preserve">Does the organization classify cyber threats based on the service at risk, which impact it has on the transactions, operations, number of relevant clients or financial counterparts </t>
  </si>
  <si>
    <t>Financial entities shall classify cyber threats as significant based on the criticality of the 
services at risk, including the financial entity’s transactions and operations, number and/or 
relevance of clients or financial counterparts targeted and the geographical spread of the 
areas at risk</t>
  </si>
  <si>
    <t>Financial entities shall report major ICT-related incidents to the relevant competent authority as referred to in Article 46 in accordance with paragraph 4 of this Article.</t>
  </si>
  <si>
    <t>Does your organization voluntarily notify significant cyber threats to the relevant competent authority?</t>
  </si>
  <si>
    <t>Financial entities may, on a voluntary basis, notify significant cyber threats to the relevant 
competent authority when they deem the threat to be of relevance to the financial system, 
service users or clients. The relevant competent authority may provide such information to 
other relevant authorities referred to in paragraph 6.</t>
  </si>
  <si>
    <t>Where a major ICT-related incident occurs and has an impact on the financial interests of clients, financial entities shall, without undue delay as soon as they become aware of it, inform their clients about the major ICT-related incident and about the measures that have been taken to mitigate the adverse effects of such incident.</t>
  </si>
  <si>
    <t>Financial entities shall, within the time-limits to be laid down in accordance with 
Article 20, first subparagraph, point (a), point (2), submit the following to the relevant 
competent authority:
(a) an initial notification;
(b) an intermediate report after the initial notification referred to in point (a), as soon as 
the status of the original incident has changed significantly or the handling of the 
major ICT-related incident has changed based on new information available, 
followed, as appropriate, by updated notifications every time a relevant status update 
is available, as well as upon a specific request of the competent authority;</t>
  </si>
  <si>
    <t>Financial entities shall, within the time-limits to be laid down in accordance with Article 20, first subparagraph, point (a), point (2), submit the following to the relevant competent authority: (a) an initial notification; (b) an intermediate report after the initial notification referred to in point (a), as soon as the status of the original incident has changed significantly or the handling of the major ICT-related incident has changed based on new information available, followed, as appropriate, by updated notifications every time a relevant status update is available, as well as upon a specific request of the competent authority;</t>
  </si>
  <si>
    <t>For the purpose of assessing preparedness for handling ICT-related incidents, of 
identifying weaknesses, deficiencies and gaps in digital operational resilience, and of 
promptly implementing corrective measures, financial entities, other than microenterprises, 
shall, taking into account the criteria set out in Article 4(2), establish, maintain and review 
a sound and comprehensive digital operational resilience testing programme as an integral 
part of the ICT risk-management framework referred to in Article 6.</t>
  </si>
  <si>
    <t>Does the orgnizations programme include a range of assessments, tests, methodologies, practices and tools to be applied in accordance with Articles 25 and 26?</t>
  </si>
  <si>
    <t>The digital operational resilience testing programme shall include a range of assessments, 
tests, methodologies, practices and tools to be applied in accordance with Articles 25 
and 26.</t>
  </si>
  <si>
    <t>3. When conducting the digital operational resilience testing programme referred to in paragraph 1 of this Article, financial entities, other than microenterprises, shall follow a risk-based approach taking into account the criteria set out in Article 4(2) duly considering the evolving landscape of ICT risk, any specific risks to which the financial entity concerned is or might be exposed, the criticality of information assets and of services provided, as well as any other factor the financial entity deems appropriate.</t>
  </si>
  <si>
    <t>Financial entities, other than microenterprises, shall ensure that tests are undertaken by 
independent parties, whether internal or external. Where tests are undertaken by an internal 
tester, financial entities shall dedicate sufficient resources and ensure that conflicts of 
interest are avoided throughout the design and execution phases of the test.</t>
  </si>
  <si>
    <t>Financial entities, other than microenterprises, shall establish procedures and policies to 
prioritise, classify and remedy all issues revealed throughout the performance of the tests 
and shall establish internal validation methodologies to ascertain that all identified 
weaknesses, deficiencies or gaps are fully addressed.</t>
  </si>
  <si>
    <t>Financial entities, other than microenterprises, shall ensure, at least yearly, that appropriate tests are conducted on all ICT systems and applications supporting critical or important functions</t>
  </si>
  <si>
    <t xml:space="preserve">Requirements for specific companies </t>
  </si>
  <si>
    <t xml:space="preserve">Other than microenterprises </t>
  </si>
  <si>
    <t>You can use the filter box to find specific sections by using phrases like "Business Continuity" or "Cyber Security"</t>
  </si>
  <si>
    <t>Other than microenterprises</t>
  </si>
  <si>
    <t>Financial entities, other than microenterprises, shall report to the competent authorities, 
upon their request, an estimation of aggregated annual costs and losses caused by 
major ICT-related incidents.</t>
  </si>
  <si>
    <t xml:space="preserve"> </t>
  </si>
  <si>
    <t>Does the organization have ICT Disaster Recovery plans in place, which can be audited by an independent auditor?</t>
  </si>
  <si>
    <t>Does the organization have the capabilities to share all tests and exercise reports with authorities?</t>
  </si>
  <si>
    <t xml:space="preserve">Low effort </t>
  </si>
  <si>
    <t xml:space="preserve">Medium Effort </t>
  </si>
  <si>
    <t xml:space="preserve">High Effort </t>
  </si>
  <si>
    <t xml:space="preserve">Effort level 
(How much effort will it take to implement) </t>
  </si>
  <si>
    <t>When conducting the digital operational resilience testing program referred to in paragraph 1 of this Article, does your organization follow a risk-based approach taking into account the criteria set out in Article 4(2)?
a) Does your organization duly consider the evolving landscape of ICT risk, any specific risks to which the organization is or might be exposed?
b) Does your organization duly consider the criticality of information assets and services provided, as well as any other factor the financial entity deems appropriate?</t>
  </si>
  <si>
    <t>Has your organization established internal validation methodologies to ascertain that all identified weaknesses, deficiencies, or gaps are fully addressed?</t>
  </si>
  <si>
    <t>Does your organization conduct appropriate tests on all ICT systems and applications supporting critical or important functions at least yearly?</t>
  </si>
  <si>
    <t>Do the procedures and processes include identification and documentation?</t>
  </si>
  <si>
    <t>Has the organization established early warning indicators as part of its ICT-related incident management process?</t>
  </si>
  <si>
    <t>Has the organization assigned roles and responsibilities that need to be activated for different types and scenarios of ICT-related incidents, according to the criticality of the impacted services, in accordance with the criteria set out in Article 18(1)?</t>
  </si>
  <si>
    <t>Has the organization developed plans for notification to clients, for internal escalation procedures, including ICT-related customer complaints, as well as for the provision of information to financial entities that act as counterparts, as appropriate?</t>
  </si>
  <si>
    <t>Has the organization developed plans to ensure that at least major ICT-related incidents are reported to relevant senior management and the management body of at least major ICT-related incidents?</t>
  </si>
  <si>
    <t>Has the organization established ICT-related incident response procedures to mitigate impacts and ensure that services become operational and secure in a timely manner?</t>
  </si>
  <si>
    <t>Does the organization classify ICT-related incidents and determine their impact based on the following criteria: a) The number and/or relevance of clients or financial counterparts affected and, where applicable, the amount or number of transactions affected by the ICT-related incident, and whether the ICT-related incident has caused reputational impact. b) The duration of the ICT-related incident, including the service downtime. c) The geographical spread with regard to the areas affected by the ICT-related incident, particularly if it affects more than two Member States. d) The data losses that the ICT-related incident entails, in relation to availability, authenticity, integrity, or confidentiality of data. e) The criticality of the services affected, including the financial entity’s transactions and operations. f) The economic impact, in particular direct and indirect costs and losses, of the ICT-related incident in both absolute and relative terms.</t>
  </si>
  <si>
    <t>Does the organization classify cyber threats based on the service at risk, its impact on transactions and operations, and the number of relevant clients or financial counterparts?</t>
  </si>
  <si>
    <t xml:space="preserve"> Does the organization report major ICT-related incidents to the relevant competent authority using templates referred to in Article 20?</t>
  </si>
  <si>
    <t>Does the organization voluntarily notify significant cyber threats to the relevant competent authority?</t>
  </si>
  <si>
    <t>Does the organization inform its clients without undue delay in the event of major ICT-related incidents that have an impact on their financial interests or significant cyber threats?</t>
  </si>
  <si>
    <t>Does the organization outsource reporting obligations to a third-party service provider but remain fully responsible for meeting the reporting requirements?</t>
  </si>
  <si>
    <t>Does the organization manage ICT third party risk as an integrated part of the overall ICT risk management framework?</t>
  </si>
  <si>
    <t>Is ICT third party risk implemented in light of the principle of proportionality taking into account the risks arising from contractual arrangements on the use of ICT services done by ICT third party service providers, especially with regards to criticality or important service, process, or function with regard to the continuity and availability of financial services and activities?</t>
  </si>
  <si>
    <t>As part of the ICT risk management, organizations should maintain and update a database related to all contractual arrangements on the use of the ICT services provided by ICT third party?</t>
  </si>
  <si>
    <t>Has the organization adapted and yearly reviewed a strategy on ICT third-party risk taking into account a multi-vendor strategy?</t>
  </si>
  <si>
    <t>Does the above-mentioned strategy provide a policy for vendors serving critical or important functions?</t>
  </si>
  <si>
    <t>Does the organization conduct an overall risk profile based on third-party risk?</t>
  </si>
  <si>
    <t>Does the organization maintain a register of all information related to ICT third-party service providers, both sub-consolidated and consolidated?</t>
  </si>
  <si>
    <t>Are all contractual arrangements documented, and those supporting critical or important services distinguished?</t>
  </si>
  <si>
    <t>Does the organization report regularly to competent authorities on the services provided, at least yearly?</t>
  </si>
  <si>
    <t>Does the organization have the capability to share information with competent authorities upon request?</t>
  </si>
  <si>
    <t>Does the organization have the capability to inform authorities in a timely manner about any planned contractual arrangements supporting critical or important functions?</t>
  </si>
  <si>
    <t>Does the organization ensure that all ICT third-parties they enter into agreement with comply with appropriate information security standards?</t>
  </si>
  <si>
    <t>Before entering into a contractual arrangement on the use of ICT services, financial entities 
shall:
(a) assess whether the contractual arrangement covers the use of ICT services supporting 
a critical or important function;
(b) assess if supervisory conditions for contracting are met;
(c) identify and assess all relevant risks in relation to the contractual arrangement, 
including the possibility that such contractual arrangement may contribute to 
reinforcing ICT concentration risk as referred to in Article 29;
(d) undertake all due diligence on prospective ICT third-party service providers and 
ensure throughout the selection and assessment processes that the ICT third-party 
service provider is suitable;
(e) identify and assess conflicts of interest that the contractual arrangement may cause</t>
  </si>
  <si>
    <t>Does the organization ensure that all inspectors and auditors possess the necessary skills?</t>
  </si>
  <si>
    <t>Does the organization ensure that it has the right to terminate contracts in the event of the following: (a) significant breach by the ICT third-party service provider of applicable laws, regulations, or contractual terms; (b) circumstances identified throughout the monitoring of ICT third-party risk that are deemed capable of altering the performance of the functions provided through the contractual arrangement, including material changes that affect the arrangement or the situation of the ICT third-party service provider; (c) ICT third-party service provider's evidenced weaknesses pertaining to its overall ICT risk management and, in particular, the way it ensures the availability, authenticity, integrity, and confidentiality of data, whether personal or otherwise sensitive data, or non-personal data; (d) where the competent authority can no longer effectively supervise the financial entity as a result of the conditions of or circumstances related to the respective contractual arrangement?</t>
  </si>
  <si>
    <t>Does the organization have exit strategies for all service providers who provide services to critical or important functions?</t>
  </si>
  <si>
    <t>Does the organization have alternative plans for the aforementioned service providers who provide services to critical or important functions?</t>
  </si>
  <si>
    <t>Does the organization have contingency and business continuity plans in place for those service providers?</t>
  </si>
  <si>
    <t>Does the organization have measures in place to ensure that service providers who provide critical or important functions are not too difficult to replace, or that individual service providers have multiple contractual arrangements, thus preventing the organization from becoming too reliant on them?</t>
  </si>
  <si>
    <t>Does the organization have measures in place to assess the risk of subcontractors of a service provider who provide critical or important functions, particularly if the subcontractor is in a third country?</t>
  </si>
  <si>
    <t>Does the organization require the ICT third-party service provider to disclose the regions or countries where they will provide contracted or subcontracted functions and ICT services, and where data will be processed and stored? Are there provisions in place to ensure that the provider notifies the organization in advance of any changes to these locations?</t>
  </si>
  <si>
    <t>Are there provisions in place to ensure access, recovery, and return of personal and non-personal data in case of the ICT third-party service provider's insolvency, resolution, discontinuation of business operations, or termination of the contractual arrangement?</t>
  </si>
  <si>
    <t>Are there service level descriptions in place, including updates and revisions thereof?</t>
  </si>
  <si>
    <t>Does the ICT third-party service provider have an obligation to assist the financial entity at no additional cost or at a cost that is determined ex-ante in the event of an ICT incident related to the ICT service provided to the financial entity?</t>
  </si>
  <si>
    <t>Does the ICT third-party service provider have an obligation to fully cooperate with the competent authorities and resolution authorities of the financial entity, including persons appointed by them?</t>
  </si>
  <si>
    <t>Are there termination rights and related minimum notice periods in place for the termination of the contractual arrangement, in accordance with the expectations of competent authorities and resolution authorities?</t>
  </si>
  <si>
    <t>Does your management body bear the ultimate responsibility for managing the organization's ICT risk?</t>
  </si>
  <si>
    <t>Does your management body approve, oversee, and periodically review the implementation and upkeep of the ICT business continuity policy?</t>
  </si>
  <si>
    <t>Does your management body approve and periodically review ICT internal audit plans, ICT audits, and modifications to them?</t>
  </si>
  <si>
    <t>Does your management body allocate and periodically review the appropriate budget to fulfill the financial entity's digital operational resilience, including ICT security awareness programs and digital resilience training?</t>
  </si>
  <si>
    <t>Does your management body approve and periodically review all ICT service providers?</t>
  </si>
  <si>
    <t>Does your entity have reporting channels in place at the corporate level to inform the organization about the arrangements concluded with ICT third-party service providers and the potential impact of such changes on the critical or important functions subject to those arrangements?</t>
  </si>
  <si>
    <t>Do financial entities, other than microenterprises, establish a role to monitor the arrangements concluded with ICT third-party service providers?</t>
  </si>
  <si>
    <t>Does the organization minimize ICT risks by having strategies, policies, procedures, ICT protocols, and tools in place?</t>
  </si>
  <si>
    <t>Is all information relating to ICT risks completed and updated in a database and provided to the competent authorities?</t>
  </si>
  <si>
    <t>Has the organization assigned responsibilities for managing and overseeing ICT risk to a control function that needs to be independent and separated in accordance with the three lines of defense?</t>
  </si>
  <si>
    <t>Is a review cycle put in place once a year or whenever a significant incident occurs, or larger changes to the organization take place?</t>
  </si>
  <si>
    <t>Does the internal audit organization have the capability to audit regularly?</t>
  </si>
  <si>
    <t>Does the internal audit organization have the capability and organization to create/update follow-ups?</t>
  </si>
  <si>
    <t>Does the organization have a holistic ICT multi-vendor strategy at the group level?</t>
  </si>
  <si>
    <t>Does the organization conduct risk assessments on major changes in the network?</t>
  </si>
  <si>
    <t>Does the organization identify all processes dependent on ICT third-party service providers and their interdependencies with third-party service providers that work with critical or important functions?</t>
  </si>
  <si>
    <t>Does the organization conduct a yearly risk assessment on all legacy systems?</t>
  </si>
  <si>
    <t>Has the organization implemented continuous monitoring and control mechanisms for the security and functioning of ICT systems and tools, as well as minimization measures for the impact of ICT risk?</t>
  </si>
  <si>
    <t>Have the organization used ICT solutions and processes that are appropriate and meet the requirements of ensuring secure data transfer means and minimizing the risk of data corruption, loss, unauthorised access, and technical flaws that may hinder business activity, prevent lack of availability, and ensure that data is protected from risks arising from data management?</t>
  </si>
  <si>
    <t>Does the organization as part of their ICT Risk Management framework cover:</t>
  </si>
  <si>
    <t>Does the organization have mechanisms in place to promptly detect anomalous activities such as: ICT performance issues and ICT related incidents?</t>
  </si>
  <si>
    <t>Is the mechanism tested regularly?</t>
  </si>
  <si>
    <t>Does the organization ensure that they have sufficient resources and capabilities to monitor user activity, ICT anomalies, and incidents?</t>
  </si>
  <si>
    <t>Does the organization have effective systems to check trade reports for completeness and identify errors?</t>
  </si>
  <si>
    <t>Does the organization have a comprehensive ICT business continuity policy as an integrated part of the operational business continuity policy of the financial entity?</t>
  </si>
  <si>
    <t>Does the ICT business continuity policy referred to in article 10,1 have arrangements, plans, procedures, and mechanisms aimed at:
(a) ensuring the continuity of the financial entity’s critical or important functions; (b) quickly, appropriately, and effectively responding to, and resolving, all ICT-related incidents in a way that limits damage and prioritizes the resumption of activities and recovery actions; (c) activating, without delay, dedicated plans that enable containment measures, processes, and technologies suited to each type of ICT-related incident and prevent further damage, as well as tailored response and recovery procedures established in accordance with Article 12; (d) estimating preliminary impacts, damages, and losses; (e) setting out communication and crisis management actions that ensure that updated information is transmitted to all relevant internal staff and external stakeholders in accordance with Article 14, and reporting to the competent authorities in accordance with Article 19.</t>
  </si>
  <si>
    <t>Are all ICT business continuity plans especially with regards to Critical or Important functions outsourced tested appropriately? Is this done in your organization?</t>
  </si>
  <si>
    <t>Does the organization do the following as part of their comprehensive ICT risk management: (a) test the ICT Business Continuity Policy and the ICT Disaster Recovery Plan at least yearly and after substantive changes to the ICT systems; (b) test the crisis communication plans established in accordance with Article 13?</t>
  </si>
  <si>
    <t>Does your organization have a comprehensive Crisis Management function which can be activated in accordance with the business continuity policy or disaster recovery plans?</t>
  </si>
  <si>
    <t>Does your organization have clear guidelines for tracking all events taking place before, during and after a disruptive event?</t>
  </si>
  <si>
    <t>Does the organization have the capabilities to report on the losses caused by an ICT disruption?</t>
  </si>
  <si>
    <t>Does your organization, as part of the business continuity policy, conduct a Business Impact Analysis of their exposures to severe business disruption?</t>
  </si>
  <si>
    <t>Does the ICT Risk Management Framework contain these elements in order to ensure that ICT systems and data can be restored with minimum downtime: (a) backup policies and procedures specifying the scope of the data that is subject to the backup and the minimum frequency of the backup, based on the criticality of information or the confidentiality level of the data; (b) restoration and recovery procedures and methods?</t>
  </si>
  <si>
    <t>Does the organization have backup systems that can be activated in accordance with the backup policy and procedures as well as restoration and recovery procedures and methods? The organization needs to ensure that the activation of the backup systems shall not jeopardize the security of the network and information systems or the availability, authenticity, integrity or confidentiality of data.</t>
  </si>
  <si>
    <t>Does the organization have separate backup systems that are segregated from the source ICT system?</t>
  </si>
  <si>
    <t>Does the organization maintain redundant ICT capacities equipped with resources, capabilities, and functions that are adequate to ensure business needs?</t>
  </si>
  <si>
    <t>If the organization has central securities depositories, it should maintain at least one secondary processing site endowed with adequate resources, capabilities, functions, and staffing arrangements to ensure business needs. The secondary site should: (a) located at a geographical distance from the primary processing site to ensure that it bears a distinct risk profile and to prevent it from being affected by the event which has affected the primary site; (b) capable of ensuring the continuity of critical or important functions identically to the primary site, or providing the level of services necessary to ensure that the financial entity performs its critical operations within the recovery objectives; (c) immediately accessible to the financial entity's staff to ensure continuity of critical or important functions in the event that the primary processing site has become unavailable.</t>
  </si>
  <si>
    <t>The organization shall determine the recovery time and recovery point objectives for each function. Financial entities shall take into account whether it is a critical or important function potential overall impact on market efficiency.</t>
  </si>
  <si>
    <t>Does the organization ensure that lessons learned sessions are held after ICT related incidents occur and the organization is recovered, all checks, including any multiple checks and reconciliations?</t>
  </si>
  <si>
    <t>Does the organization have the capability to communicate any changes made after a serious ICT incident?</t>
  </si>
  <si>
    <t>Does the organization have the capability to create a ICT related incident reviews which shall determine whether the procedures were followed? All of these factors need to be included: (a) the promptness in responding to security alerts and determining the impact of ICT-related incidents and their severity; (b) the quality and speed of performing a forensic analysis, where deemed appropriate; (c) the effectiveness of incident escalation within the financial entity; (d) the effectiveness of internal and external communication.</t>
  </si>
  <si>
    <t>Does the organization have mechanisms to take lessons from the digital operational resilience testing? These lessons should be especially focused on Cyber Attack, activation of ICT Business Continuity Plans, and ICT response and recovery plans.</t>
  </si>
  <si>
    <t>Does the organization monitor the effectiveness of its implementation of the digital operational resilience strategy?</t>
  </si>
  <si>
    <t>Do the senior ICT staff in the organization report to management at least once a year?</t>
  </si>
  <si>
    <t>Does the organization have general training programs for ICT security awareness and digital operational resilience?</t>
  </si>
  <si>
    <t>Does the organization have the capability to monitor relevant technological developments and their potential impact on the organization?</t>
  </si>
  <si>
    <t>Does the organization have crisis communication plans in place to enable clear communication about potential ICT-related incidents?</t>
  </si>
  <si>
    <t>Does the organization have policies for internal and external stakeholder communication, with a focus on staff responsible for incident response and those who need information?</t>
  </si>
  <si>
    <t>Is there at least one person responsible for implementing the communication strategy for ICT-related incidents?</t>
  </si>
  <si>
    <t>Does your organization have an internal governance and control framework in place to ensure effective and prudent management of ICT risk?</t>
  </si>
  <si>
    <t>Does your organization maintain policies to ensure high standards of data availability, authenticity, integrity, and confidentiality?</t>
  </si>
  <si>
    <t>Does your organization set clear roles and responsibilities for all ICT-related functions?</t>
  </si>
  <si>
    <t>Does your management body bear overall responsibility for setting and approving the digital operational resilience strategy as referred to in Article 6(8), including the determination of the appropriate risk tolerance level of ICT risk of the organization, as referred to in Article 6(8), point (b)?</t>
  </si>
  <si>
    <t xml:space="preserve">Does the organization have a role to monitor the arrangements provided by ICT third party providers? </t>
  </si>
  <si>
    <t>Does the Risk Management Framework include?:</t>
  </si>
  <si>
    <t>Financial entities may, in accordance with Union and national sectoral law, outsource the 
tasks of verifying compliance with ICT risk management requirements to intra-group or 
external undertakings. In case of such outsourcing, the financial entity remains fully 
responsible for the verification of compliance with the ICT risk management requirements.</t>
  </si>
  <si>
    <t>Financial entities shall record all ICT-related incidents and significant cyber threats. 
Financial entities shall establish appropriate procedures and processes to ensure a 
consistent and integrated monitoring, handling and follow-up of ICT-related incidents, to ensure that root causes are identified, documented and addressed in order to prevent the occurrence of such incidents.</t>
  </si>
  <si>
    <t>(f) establish ICT-related incident response procedures to mitigate impacts and ensure 
that services become operational and secure in a timely manner.</t>
  </si>
  <si>
    <t>Financial entities shall classify cyber threats as significant based on the criticality of the 
services at risk, including the financial entity’s transactions and operations, number and/or relevance of clients or financial counterparts targeted and the geographical spread of the areas at risk</t>
  </si>
  <si>
    <t>Financial entities may, on a voluntary basis, notify significant cyber threats to the relevant competent authority when they deem the threat to be of relevance to the financial system,  service users or clients. The relevant competent authority may provide such information to other relevant authorities referred to in paragraph 6.</t>
  </si>
  <si>
    <t>(b) establish procedures to identify, track, log, categorise and classify ICT-related 
incidents according to their priority and severity and according to the criticality of 
the services impacted, in accordance with the criteria set out in Article 18(1);</t>
  </si>
  <si>
    <t>Financial entities, other than microenterprises, shall ensure that tests are undertaken by independent parties, whether internal or external. Where tests are undertaken by an internal tester, financial entities shall dedicate sufficient resources and ensure that conflicts of interest are avoided throughout the design and execution phases of the test.</t>
  </si>
  <si>
    <t>The digital operational resilience testing programme shall include a range of assessments, tests, methodologies, practices and tools to be applied in accordance with Articles 25 and 26.</t>
  </si>
  <si>
    <t>For the purpose of assessing preparedness for handling ICT-related incidents, of identifying weaknesses, deficiencies and gaps in digital operational resilience, and of promptly implementing corrective measures, financial entities, other than microenterprises, shall, taking into account the criteria set out in Article 4(2), establish, maintain and review a sound and comprehensive digital operational resilience testing programme as an integral part of the ICT risk-management framework referred to in Article 6.</t>
  </si>
  <si>
    <t>Where contractual arrangements on the use of ICT services supporting critical or important functions are concluded with an ICT third-party service provider established in a third country, financial entities shall, in addition to the considerations referred to in the second subparagraph, also consider the compliance with Union data protection rules and the effective enforcement of the law in that third country.</t>
  </si>
  <si>
    <t>2a</t>
  </si>
  <si>
    <t>The rights and obligations of the financial entity and of the ICT third-party service provider shall be clearly allocated and set out in writing. The full contract shall include the service level agreements and be documented in one written document which shall be available to the parties on paper, or in a document with another downloadable, durable and accessible format.</t>
  </si>
  <si>
    <t>If the service provider is located in a third country, the organization should be aware of the risks associated with data protection?</t>
  </si>
  <si>
    <t>Where contractual arrangements concern ICT services supporting critical or important functions, financial entities shall duly consider the insolvency law provisions that would apply in the event of the ICT third-party service provider’s bankruptcy as well as any constraint that may arise in respect to the urgent recovery of the financial entity’s data.</t>
  </si>
  <si>
    <t>Where the contractual arrangements on the use of ICT services supporting critical or important functions include the possibility that an ICT third-party service provider further subcontracts ICT services supporting a critical or important function to other ICT third_x0002_party service providers, financial entities shall weigh benefits and risks that may arise in connection with such subcontracting, in particular in the case of an ICT subcontractor established in a third-country.</t>
  </si>
  <si>
    <t>Where the contractual arrangements on the use of ICT services supporting critical or important functions provide for subcontracting, financial entities shall assess whether and how potentially long or complex chains of subcontracting may impact their ability to fully monitor the contracted functions and the ability of the competent authority to effectively 
supervise the financial entity in that respect.</t>
  </si>
  <si>
    <t>Organizations should consider if long and complex sub-contractor networks may effect the way the organization can monitor the service provider?</t>
  </si>
  <si>
    <t>If the service provider is located in a third country, the organization should be aware of the insolvency law provisions that apply in the event of the service providers bankruptcy?</t>
  </si>
  <si>
    <t>(a) a clear and complete description of all functions and ICT services to be provided by the ICT third-party service provider, indicating whether subcontracting of an ICT service supporting a critical or important function, or material parts thereof, is permitted and, when that is the case, the conditions applying to such subcontracting;</t>
  </si>
  <si>
    <t>2b</t>
  </si>
  <si>
    <t>2c</t>
  </si>
  <si>
    <t>2d</t>
  </si>
  <si>
    <t>2e</t>
  </si>
  <si>
    <t>2f</t>
  </si>
  <si>
    <t>2g</t>
  </si>
  <si>
    <t>2h</t>
  </si>
  <si>
    <t>The contractual arrangements on the use of ICT services supporting critical or important functions shall include, in addition to the elements referred to in paragraph 2, at least the following:</t>
  </si>
  <si>
    <t xml:space="preserve">Does the organization use standard contractual clauses developed by public authorities when making a contract for specific services? </t>
  </si>
  <si>
    <t xml:space="preserve"> (a)</t>
  </si>
  <si>
    <t>Does the organization use these elements when writing contractual arrangements on the use of ICT services supporting critical or important functions which shall include, in addition to the elements referred to in paragraph 2, at least the following:</t>
  </si>
  <si>
    <t>Does the organization ensure that the right and obligations of the financial entity and the ICT third party is allocated in writing and the full contract should be documented in one written document available to both parties?</t>
  </si>
  <si>
    <t>The full service level descriptions, including updates and revisions with precise quantitative and qualitative performance targets, to allow effective monitoring and enable corrective actions to be taken when agreed service levels are not met.</t>
  </si>
  <si>
    <t>Does the organization have a sound comprehensive and well-documented ICT risk management framework?</t>
  </si>
  <si>
    <t>The organization has ICT risk management Strategies?</t>
  </si>
  <si>
    <t>The organization has ICT risk management Policies?</t>
  </si>
  <si>
    <t>The organization has ICT risk management Procedures?</t>
  </si>
  <si>
    <t>The organization has ICT Risk management Protocols?</t>
  </si>
  <si>
    <t>Financial entities, other than microenterprises, shall establish procedures and policies to prioritise, classify and remedy all issues revealed throughout the performance of the tests and shall establish internal validation methodologies to ascertain that all identified weaknesses, deficiencies or gaps are fully addressed.</t>
  </si>
  <si>
    <t>Does the management members of the organizations actively keep up to date with sufficient knowledge and skills to understand and assess ICT risks and its impacts of the operations?</t>
  </si>
  <si>
    <t xml:space="preserve">DORA Text 
(subset of DORA text in relation to the question) </t>
  </si>
  <si>
    <t>8. The ICT risk management framework shall include a digital operational resilience strategy setting out how the framework shall be implemented. To that end, the digital operational resilience strategy shall include methods to address ICT risk and attain specific ICT objectives, by:</t>
  </si>
  <si>
    <t>(b) establishing the risk tolerance level for ICT risk, in accordance with the risk appetite of the financial entity, and analysing the impact tolerance for ICT disruptions;</t>
  </si>
  <si>
    <t>(c) setting out clear information security objectives, including key performance indicators and key risk metrics;</t>
  </si>
  <si>
    <t>(d) explaining the ICT reference architecture and any changes needed to reach specific business objectives;</t>
  </si>
  <si>
    <t>The organization can outsource the task of verifying compliance of the ICT Risk Management to both intra-group and external undertakers?</t>
  </si>
  <si>
    <t>In order to address and manage ICT risk, does the financial entity use and maintain updated ICT systems, protocols, and tools that are:?</t>
  </si>
  <si>
    <t>Financial entities may, in the context of the digital operational resilience strategy referred to in paragraph 8, define a holistic ICT multi-vendor strategy, at group or entity level, showing key dependencies on ICT third-party service providers and explaining the rationale behind the procurement mix of ICT third-party service providers.</t>
  </si>
  <si>
    <t>Does the organization maintain relevant inventories and update them periodically and every time any major change, as referred to in paragraph 3?</t>
  </si>
  <si>
    <t>Other than microenterprises (in relation to the auditability by independent auditors)</t>
  </si>
  <si>
    <t>other than microenterprises</t>
  </si>
  <si>
    <t>Effort Level</t>
  </si>
  <si>
    <t>Does the organization have a  clear and complete description of all functions and ICT services to be provided by the ICT third-party service provider, indicating whether subcontracting of an ICT service supporting a critical or important function, or material parts thereof, is permitted and, when that is the case, the conditions applying to such subcontracting?</t>
  </si>
  <si>
    <t>Does the organization, before entering into a contractual arrangement for ICT services, ensure: 
(a) the arrangement covers the use of ICT services supporting a critical or important function; 
(b) supervisory conditions for contracting are met; 
(c) relevant risks are identified and assessed, including the possibility of reinforcing ICT concentration risk; 
(d) all due diligence is undertaken on prospective ICT third-party service providers to ensure suitability; (e) conflicts of interest are identified and assessed?</t>
  </si>
  <si>
    <t>Does your management body define, oversee and take responsibility for the ICT risk management framework?</t>
  </si>
  <si>
    <t>Does the internal audit organization have sufficient knowledge, skills and expertise to audit the ICT Risk Management Framework?</t>
  </si>
  <si>
    <t>Does the organization identify, classify and adequately document all ICT supported functions, roles, responsibilities, information and other ICT assets supporting those functions?</t>
  </si>
  <si>
    <t>Does the organization identify all sources of ICT risks, especially those coming from other financial entities, cyber threats and ICT vulnerabilities?</t>
  </si>
  <si>
    <t>Does the organization identify all information assets and ICT assets, including remote sites, network resources and hardware equipment?</t>
  </si>
  <si>
    <t>Have the organization designed, procured, and implemented ICT security policies, procedures, protocols and tools to ensure the resilience, continuity, and availability of ICT systems, particularly for critical or important functions, and to maintain high standards of data availability, authenticity, integrity and confidentiality?</t>
  </si>
  <si>
    <t>Does the organization have the capabilities and staff to gather information on vulnerabilities, cyber threats and ICT related incidents? The organization should also be able to analyze the impact.</t>
  </si>
  <si>
    <t>Does the organization have in place a method to do ICT related incident reviews "lessons learned"? Both Causes and Improvements should be identified.</t>
  </si>
  <si>
    <t>Does the organization define, establish and implement an incident management process for ICT-related incidents to detect, manage, and notify them?</t>
  </si>
  <si>
    <t>Has the organization established appropriate procedures and processes to ensure consistent and integrated monitoring, handling and follow-up of ICT-related incidents?</t>
  </si>
  <si>
    <t>Has the organization established procedures to identify, track, log, categorize and classify ICT-related incidents according to their priority and severity?</t>
  </si>
  <si>
    <t>Has the organization developed plans for communication to staff, external stakeholders and media in accordance with Article 14?</t>
  </si>
  <si>
    <t>Does the organization explain the impact, response and additional controls established as a result of such ICT-related incidents?</t>
  </si>
  <si>
    <t>Does the organization submit an initial notification, intermediate report and final report to the relevant competent authority within specified time limits using the templates referred to in Article 20?</t>
  </si>
  <si>
    <t>Does your organization establish, maintain and review a sound and comprehensive digital operational resilience testing program as an integral part of the ICT risk-management framework referred to in Article 6?</t>
  </si>
  <si>
    <t>Does the organization's program include a range of assessments, tests, methodologies, practices and tools to be applied in accordance with Articles 25 and 26?</t>
  </si>
  <si>
    <t>Has your organization established procedures and policies to prioritize, classify and remedy all issues revealed throughout the performance of the tests?</t>
  </si>
  <si>
    <t>Is ICT third party risk implemented in light of the principle of proportionality taking into account the nature, scale, complexity and importance of ICT-related dependencies?</t>
  </si>
  <si>
    <t>Does the organization have exercise access, inspection and audit rights over the ICT third-party service provider? Does the organization use a risk-based approach to pre-determine the frequency of audits and inspections?</t>
  </si>
  <si>
    <t>Are there provisions in place to ensure data protection, including personal data, with regards to availability, authenticity, integrity and confidentiality?</t>
  </si>
  <si>
    <t>Question 
"The drop-down-list contains all questions from the Overall results table meaning all questions answered with either "no" or "partly"</t>
  </si>
  <si>
    <t>Does the RMF include: Business strategy and objectives as they relate to the ICT risk management framework</t>
  </si>
  <si>
    <t>Does the RMF include: An established risk tolerance level for ICT risk?</t>
  </si>
  <si>
    <t>Does the RMF include: Clear information security objectives, including key performance indicators and key risk metrics?</t>
  </si>
  <si>
    <t>Does the RMF include: Explaining the ICT reference architecture and how it relates to specific business objectives?</t>
  </si>
  <si>
    <t>Does the RMF include: Outline mechanisms to detect ICT-related incidents, prevent their impact and provide protection from them?</t>
  </si>
  <si>
    <t>Does the RMF include: Situational awareness for major ICT-related incidents?</t>
  </si>
  <si>
    <t>Does the RMF include: Implemented digital operational resilience testing?</t>
  </si>
  <si>
    <t>Does the RMF include: Outline a communication strategy in case of an ICT incident?</t>
  </si>
  <si>
    <t>ICT systems, protocols, and tools that are: Appropriate to the magnitude of operations supporting the conduct of their activities, in accordance with the proportionality principle as referred to in Article 4.</t>
  </si>
  <si>
    <t>ICT systems, protocols, and tools that are: Equipped with sufficient capacity to accurately process data necessary for performance of activities and timely provision of services, including peak orders and new technology?</t>
  </si>
  <si>
    <t>ICT systems, protocols, and tools that are: Technologically resilient to adequately deal with additional information processing needs required under stressed market conditions or other adverse situations?</t>
  </si>
  <si>
    <t>ICT Risk Management framework cover: An information security policy defining rules to protect the availability, authenticity, integrity and confidentiality</t>
  </si>
  <si>
    <t>ICT Risk Management framework cover: Following a risk-based approach, established a sound network and infrastructure management</t>
  </si>
  <si>
    <t>ICT Risk Management framework cover: Implement policies that limit the physical or logical access to information assets and ICT assets</t>
  </si>
  <si>
    <t>ICT Risk Management framework cover: Implement policies and protocols for strong authentication mechanisms, based on relevant standards and dedicated control systems, and protection measures of cryptographic keys whereby data is encrypted based on results of approved data classification and ICT risk assessment processes</t>
  </si>
  <si>
    <t>(d) implement policies and protocols for strong authentication mechanisms, based on relevant standards and dedicated control systems, and protection measures of cryptographic keys whereby data is encrypted based on results of approved data classification and ICT risk assessment processes</t>
  </si>
  <si>
    <t>ICT Risk Management framework cover: Implement documented policies, procedures and controls for ICT change management</t>
  </si>
  <si>
    <t>ICT Risk Management framework cover: Have appropriate and comprehensive documented policies for patches and updates.</t>
  </si>
  <si>
    <t>Does the orgnisations ICT services include: Full service level descriptions, including updates and revisions with precise quantitative and qualitative performance targets, to allow effective monitoring and enable corrective actions to be taken when agreed service levels are not met.</t>
  </si>
  <si>
    <t>Does the orgnisations ICT services include: Notice periods and reporting obligations of the ICT third-party service provider to the financial entity, including notification of any development that might have a material impact on the ICT third-party service provider’s ability to effectively provide the ICT services supporting critical or important functions.</t>
  </si>
  <si>
    <t>Does the orgnisations ICT services include: The obligation of the ICT third-party service provider to participate and fully cooperate in the financial entity’s TLPT as referred to in Articles 26 and 27.</t>
  </si>
  <si>
    <t>Does the orgnisations ICT services include: Requirements for the ICT third-party service provider to implement and test business contingency plans and have in place ICT security measures, tools, and policies that provide an appropriate level of security for the provision of services in line with the financial entity's regulatory framework.</t>
  </si>
  <si>
    <t>Does the orgnisations ICT services include: The right to monitor, on an ongoing basis, the ICT third-party service provider’s performance, including unrestricted rights of access, inspection, and audit by the financial entity or an appointed third party, and the obligation of the ICT third-party service provider to fully cooperate during the onsite inspections and audits performed by competent authorities, the Lead Overseer, financial entity, or an appointed third party. The right to agree on alternative assurance levels if other clients' rights are affected, and the obligation to provide details on the scope, procedures, and frequency of such inspections and audits.</t>
  </si>
  <si>
    <t>Does the orgnisations ICT services include: Exit strategies, including the establishment of a mandatory adequate transition period, during which the ICT third-party service provider will continue providing the respective functions or ICT services, allowing the financial entity to migrate to another ICT third-party service provider or change to in-house solutions consistent with the complexity of the service provided.
(i) during which the ICT third-party service provider will continue providing the 
respective functions, or ICT services, with a view to reducing the risk of 
disruption at the financial entity or to ensure its effective resolution and 
restructuring;
(ii) allowing the financial entity to migrate to another ICT third-party service 
provider or change to in-house solutions consistent with the complexity of the 
service provided.</t>
  </si>
  <si>
    <t>Voluntary for all companies</t>
  </si>
  <si>
    <t xml:space="preserve">Effort Level </t>
  </si>
  <si>
    <t xml:space="preserve">Low </t>
  </si>
  <si>
    <t xml:space="preserve">Medium </t>
  </si>
  <si>
    <t>High</t>
  </si>
  <si>
    <t>Description</t>
  </si>
  <si>
    <t>Priority Level</t>
  </si>
  <si>
    <t>Set a description for each effort and priority level to ensure that the organization understand the level which they work with throughout the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</si>
</sst>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
  </numFmts>
  <fonts count="20" x14ac:knownFonts="1">
    <font>
      <sz val="11"/>
      <color theme="1"/>
      <name val="Calibri"/>
      <family val="2"/>
      <scheme val="minor"/>
    </font>
    <font>
      <b/>
      <sz val="11"/>
      <color theme="0"/>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6"/>
      <color theme="1"/>
      <name val="Calibri"/>
      <family val="2"/>
      <scheme val="minor"/>
    </font>
    <font>
      <sz val="18"/>
      <color theme="1"/>
      <name val="Calibri"/>
      <family val="2"/>
      <scheme val="minor"/>
    </font>
    <font>
      <sz val="16"/>
      <name val="Calibri"/>
      <family val="2"/>
      <scheme val="minor"/>
    </font>
    <font>
      <sz val="18"/>
      <color theme="0"/>
      <name val="Calibri"/>
      <family val="2"/>
      <scheme val="minor"/>
    </font>
    <font>
      <b/>
      <sz val="16"/>
      <color theme="0"/>
      <name val="Calibri"/>
      <family val="2"/>
      <scheme val="minor"/>
    </font>
    <font>
      <sz val="16"/>
      <color rgb="FF000000"/>
      <name val="Calibri"/>
      <family val="2"/>
      <scheme val="minor"/>
    </font>
    <font>
      <sz val="16"/>
      <color theme="0"/>
      <name val="Calibri"/>
      <family val="2"/>
      <scheme val="minor"/>
    </font>
    <font>
      <sz val="20"/>
      <color theme="1"/>
      <name val="Calibri"/>
      <family val="2"/>
      <scheme val="minor"/>
    </font>
    <font>
      <sz val="14"/>
      <color theme="0"/>
      <name val="Calibri"/>
      <family val="2"/>
      <scheme val="minor"/>
    </font>
    <font>
      <sz val="14"/>
      <color theme="1"/>
      <name val="Calibri"/>
      <family val="2"/>
      <scheme val="minor"/>
    </font>
    <font>
      <sz val="9.6"/>
      <color rgb="FF374151"/>
      <name val="Segoe UI"/>
      <family val="2"/>
    </font>
    <font>
      <b/>
      <sz val="9"/>
      <color indexed="81"/>
      <name val="Tahoma"/>
      <family val="2"/>
    </font>
    <font>
      <b/>
      <sz val="14"/>
      <color indexed="81"/>
      <name val="Tahoma"/>
      <family val="2"/>
    </font>
    <font>
      <sz val="14"/>
      <color indexed="81"/>
      <name val="Tahoma"/>
      <family val="2"/>
    </font>
  </fonts>
  <fills count="14">
    <fill>
      <patternFill patternType="none"/>
    </fill>
    <fill>
      <patternFill patternType="gray125"/>
    </fill>
    <fill>
      <patternFill patternType="solid">
        <fgColor theme="3"/>
        <bgColor indexed="64"/>
      </patternFill>
    </fill>
    <fill>
      <patternFill patternType="solid">
        <fgColor theme="5"/>
        <bgColor indexed="64"/>
      </patternFill>
    </fill>
    <fill>
      <patternFill patternType="solid">
        <fgColor theme="9"/>
        <bgColor indexed="64"/>
      </patternFill>
    </fill>
    <fill>
      <patternFill patternType="solid">
        <fgColor rgb="FF002060"/>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005045"/>
        <bgColor indexed="64"/>
      </patternFill>
    </fill>
    <fill>
      <patternFill patternType="solid">
        <fgColor rgb="FF004E44"/>
        <bgColor indexed="64"/>
      </patternFill>
    </fill>
    <fill>
      <patternFill patternType="solid">
        <fgColor rgb="FF019583"/>
        <bgColor indexed="64"/>
      </patternFill>
    </fill>
    <fill>
      <patternFill patternType="solid">
        <fgColor rgb="FF00D6B7"/>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theme="4" tint="0.39997558519241921"/>
      </bottom>
      <diagonal/>
    </border>
    <border>
      <left/>
      <right/>
      <top/>
      <bottom style="thin">
        <color theme="4" tint="0.39997558519241921"/>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theme="0"/>
      </left>
      <right style="medium">
        <color theme="0"/>
      </right>
      <top style="medium">
        <color theme="0"/>
      </top>
      <bottom/>
      <diagonal/>
    </border>
    <border>
      <left/>
      <right style="thin">
        <color indexed="64"/>
      </right>
      <top/>
      <bottom style="thin">
        <color indexed="64"/>
      </bottom>
      <diagonal/>
    </border>
    <border>
      <left style="thin">
        <color indexed="64"/>
      </left>
      <right/>
      <top/>
      <bottom style="thin">
        <color indexed="64"/>
      </bottom>
      <diagonal/>
    </border>
    <border>
      <left style="thin">
        <color theme="0"/>
      </left>
      <right style="thin">
        <color theme="0"/>
      </right>
      <top style="thin">
        <color theme="0"/>
      </top>
      <bottom/>
      <diagonal/>
    </border>
    <border>
      <left style="medium">
        <color rgb="FF00D6B7"/>
      </left>
      <right/>
      <top style="medium">
        <color rgb="FF00D6B7"/>
      </top>
      <bottom/>
      <diagonal/>
    </border>
    <border>
      <left/>
      <right style="medium">
        <color rgb="FF00D6B7"/>
      </right>
      <top style="medium">
        <color rgb="FF00D6B7"/>
      </top>
      <bottom/>
      <diagonal/>
    </border>
    <border>
      <left style="medium">
        <color rgb="FF00D6B7"/>
      </left>
      <right/>
      <top/>
      <bottom/>
      <diagonal/>
    </border>
    <border>
      <left/>
      <right style="medium">
        <color rgb="FF00D6B7"/>
      </right>
      <top/>
      <bottom/>
      <diagonal/>
    </border>
    <border>
      <left style="medium">
        <color rgb="FF00D6B7"/>
      </left>
      <right style="thin">
        <color rgb="FF00D6B7"/>
      </right>
      <top style="thin">
        <color rgb="FF00D6B7"/>
      </top>
      <bottom style="thin">
        <color rgb="FF00D6B7"/>
      </bottom>
      <diagonal/>
    </border>
    <border>
      <left style="thin">
        <color rgb="FF00D6B7"/>
      </left>
      <right style="medium">
        <color rgb="FF00D6B7"/>
      </right>
      <top style="thin">
        <color rgb="FF00D6B7"/>
      </top>
      <bottom style="thin">
        <color rgb="FF00D6B7"/>
      </bottom>
      <diagonal/>
    </border>
    <border>
      <left style="medium">
        <color rgb="FF00D6B7"/>
      </left>
      <right style="thin">
        <color rgb="FF00D6B7"/>
      </right>
      <top style="thin">
        <color rgb="FF00D6B7"/>
      </top>
      <bottom style="medium">
        <color rgb="FF00D6B7"/>
      </bottom>
      <diagonal/>
    </border>
    <border>
      <left style="thin">
        <color rgb="FF00D6B7"/>
      </left>
      <right style="medium">
        <color rgb="FF00D6B7"/>
      </right>
      <top style="thin">
        <color rgb="FF00D6B7"/>
      </top>
      <bottom style="medium">
        <color rgb="FF00D6B7"/>
      </bottom>
      <diagonal/>
    </border>
    <border>
      <left style="thin">
        <color theme="0"/>
      </left>
      <right/>
      <top/>
      <bottom/>
      <diagonal/>
    </border>
    <border>
      <left/>
      <right style="thin">
        <color theme="0"/>
      </right>
      <top/>
      <bottom/>
      <diagonal/>
    </border>
    <border>
      <left style="thin">
        <color theme="0"/>
      </left>
      <right style="thin">
        <color theme="0"/>
      </right>
      <top/>
      <bottom/>
      <diagonal/>
    </border>
  </borders>
  <cellStyleXfs count="4">
    <xf numFmtId="0" fontId="0" fillId="0" borderId="0">
      <alignment wrapText="1"/>
    </xf>
    <xf numFmtId="0" fontId="3" fillId="7" borderId="0" applyNumberFormat="0" applyBorder="0" applyAlignment="0" applyProtection="0"/>
    <xf numFmtId="0" fontId="4" fillId="8" borderId="0" applyNumberFormat="0" applyBorder="0" applyAlignment="0" applyProtection="0"/>
    <xf numFmtId="0" fontId="5" fillId="9" borderId="0" applyNumberFormat="0" applyBorder="0" applyAlignment="0" applyProtection="0"/>
  </cellStyleXfs>
  <cellXfs count="166">
    <xf numFmtId="0" fontId="0" fillId="0" borderId="0" xfId="0">
      <alignment wrapText="1"/>
    </xf>
    <xf numFmtId="0" fontId="0" fillId="0" borderId="1" xfId="0" applyBorder="1">
      <alignment wrapText="1"/>
    </xf>
    <xf numFmtId="0" fontId="0" fillId="0" borderId="0" xfId="0" applyAlignment="1">
      <alignment vertical="top"/>
    </xf>
    <xf numFmtId="10" fontId="0" fillId="0" borderId="1" xfId="0" applyNumberFormat="1" applyBorder="1" applyAlignment="1">
      <alignment vertical="top"/>
    </xf>
    <xf numFmtId="0" fontId="0" fillId="0" borderId="1" xfId="0" applyBorder="1" applyAlignment="1">
      <alignment vertical="top" wrapText="1"/>
    </xf>
    <xf numFmtId="0" fontId="0" fillId="0" borderId="1" xfId="0" applyBorder="1" applyAlignment="1">
      <alignment vertical="top"/>
    </xf>
    <xf numFmtId="10" fontId="0" fillId="0" borderId="0" xfId="0" applyNumberFormat="1" applyAlignment="1">
      <alignment vertical="top"/>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5" xfId="0" applyFill="1" applyBorder="1" applyAlignment="1">
      <alignment horizontal="center" vertical="center" wrapText="1"/>
    </xf>
    <xf numFmtId="0" fontId="0" fillId="2" borderId="2" xfId="0" applyFill="1" applyBorder="1" applyAlignment="1">
      <alignment horizontal="center" vertical="center"/>
    </xf>
    <xf numFmtId="0" fontId="1" fillId="3" borderId="4" xfId="0" applyFont="1" applyFill="1" applyBorder="1" applyAlignment="1">
      <alignment vertical="top"/>
    </xf>
    <xf numFmtId="0" fontId="1" fillId="3" borderId="5" xfId="0" applyFont="1" applyFill="1" applyBorder="1" applyAlignment="1">
      <alignment vertical="top"/>
    </xf>
    <xf numFmtId="0" fontId="1" fillId="3" borderId="5" xfId="0" applyFont="1" applyFill="1" applyBorder="1" applyAlignment="1">
      <alignment vertical="top" wrapText="1"/>
    </xf>
    <xf numFmtId="0" fontId="1" fillId="3" borderId="6" xfId="0" applyFont="1" applyFill="1" applyBorder="1" applyAlignment="1">
      <alignment vertical="top" wrapText="1"/>
    </xf>
    <xf numFmtId="0" fontId="1" fillId="3" borderId="2" xfId="0" applyFont="1" applyFill="1" applyBorder="1" applyAlignment="1">
      <alignment vertical="top"/>
    </xf>
    <xf numFmtId="0" fontId="1" fillId="4" borderId="4" xfId="0" applyFont="1" applyFill="1" applyBorder="1" applyAlignment="1">
      <alignment vertical="top"/>
    </xf>
    <xf numFmtId="0" fontId="1" fillId="4" borderId="5" xfId="0" applyFont="1" applyFill="1" applyBorder="1" applyAlignment="1">
      <alignment vertical="top"/>
    </xf>
    <xf numFmtId="0" fontId="1" fillId="4" borderId="5" xfId="0" applyFont="1" applyFill="1" applyBorder="1" applyAlignment="1">
      <alignment vertical="top" wrapText="1"/>
    </xf>
    <xf numFmtId="0" fontId="1" fillId="4" borderId="6" xfId="0" applyFont="1" applyFill="1" applyBorder="1" applyAlignment="1">
      <alignment vertical="top" wrapText="1"/>
    </xf>
    <xf numFmtId="0" fontId="1" fillId="4" borderId="2" xfId="0" applyFont="1" applyFill="1" applyBorder="1" applyAlignment="1">
      <alignment vertical="top"/>
    </xf>
    <xf numFmtId="0" fontId="1" fillId="5" borderId="4" xfId="0" applyFont="1" applyFill="1" applyBorder="1" applyAlignment="1">
      <alignment vertical="top"/>
    </xf>
    <xf numFmtId="0" fontId="1" fillId="5" borderId="5" xfId="0" applyFont="1" applyFill="1" applyBorder="1" applyAlignment="1">
      <alignment vertical="top"/>
    </xf>
    <xf numFmtId="0" fontId="1" fillId="5" borderId="5" xfId="0" applyFont="1" applyFill="1" applyBorder="1" applyAlignment="1">
      <alignment vertical="top" wrapText="1"/>
    </xf>
    <xf numFmtId="0" fontId="1" fillId="5" borderId="6" xfId="0" applyFont="1" applyFill="1" applyBorder="1" applyAlignment="1">
      <alignment vertical="top" wrapText="1"/>
    </xf>
    <xf numFmtId="0" fontId="1" fillId="5" borderId="2" xfId="0" applyFont="1" applyFill="1" applyBorder="1" applyAlignment="1">
      <alignment vertical="top"/>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5" xfId="0" applyFont="1" applyFill="1" applyBorder="1" applyAlignment="1">
      <alignment horizontal="center" vertical="center" wrapText="1"/>
    </xf>
    <xf numFmtId="0" fontId="1" fillId="6" borderId="6" xfId="0" applyFont="1" applyFill="1" applyBorder="1" applyAlignment="1">
      <alignment horizontal="center" vertical="center" wrapText="1"/>
    </xf>
    <xf numFmtId="0" fontId="1" fillId="6" borderId="2" xfId="0" applyFont="1" applyFill="1" applyBorder="1" applyAlignment="1">
      <alignment horizontal="center" vertical="center"/>
    </xf>
    <xf numFmtId="0" fontId="0" fillId="0" borderId="1" xfId="0" applyBorder="1" applyAlignment="1">
      <alignment horizontal="left" vertical="top"/>
    </xf>
    <xf numFmtId="0" fontId="1" fillId="2" borderId="3" xfId="0" applyFont="1" applyFill="1" applyBorder="1" applyAlignment="1">
      <alignment vertical="top"/>
    </xf>
    <xf numFmtId="10" fontId="0" fillId="0" borderId="0" xfId="0" applyNumberFormat="1">
      <alignment wrapText="1"/>
    </xf>
    <xf numFmtId="0" fontId="0" fillId="0" borderId="0" xfId="0" applyAlignment="1">
      <alignment vertical="top" wrapText="1"/>
    </xf>
    <xf numFmtId="0" fontId="2" fillId="6" borderId="1" xfId="0" applyFont="1" applyFill="1" applyBorder="1" applyAlignment="1">
      <alignment vertical="top"/>
    </xf>
    <xf numFmtId="0" fontId="2" fillId="5" borderId="1" xfId="0" applyFont="1" applyFill="1" applyBorder="1" applyAlignment="1">
      <alignment vertical="top"/>
    </xf>
    <xf numFmtId="0" fontId="2" fillId="4" borderId="1" xfId="0" applyFont="1" applyFill="1" applyBorder="1" applyAlignment="1">
      <alignment vertical="top"/>
    </xf>
    <xf numFmtId="0" fontId="2" fillId="3" borderId="1" xfId="0" applyFont="1" applyFill="1" applyBorder="1" applyAlignment="1">
      <alignment vertical="top"/>
    </xf>
    <xf numFmtId="0" fontId="1" fillId="2" borderId="3" xfId="0" applyFont="1" applyFill="1" applyBorder="1" applyAlignment="1">
      <alignment horizontal="center" vertical="center"/>
    </xf>
    <xf numFmtId="0" fontId="3" fillId="7" borderId="1" xfId="1" applyBorder="1" applyAlignment="1">
      <alignment horizontal="center" vertical="center"/>
    </xf>
    <xf numFmtId="0" fontId="5" fillId="9" borderId="1" xfId="3" applyBorder="1" applyAlignment="1">
      <alignment horizontal="center" vertical="center"/>
    </xf>
    <xf numFmtId="0" fontId="4" fillId="8" borderId="1" xfId="2" applyBorder="1" applyAlignment="1">
      <alignment horizontal="center" vertical="center"/>
    </xf>
    <xf numFmtId="0" fontId="2" fillId="3" borderId="3" xfId="0" applyFont="1" applyFill="1" applyBorder="1" applyAlignment="1">
      <alignment horizontal="center" vertical="center"/>
    </xf>
    <xf numFmtId="0" fontId="2" fillId="4" borderId="3" xfId="0" applyFont="1" applyFill="1" applyBorder="1" applyAlignment="1">
      <alignment horizontal="center" vertical="center"/>
    </xf>
    <xf numFmtId="0" fontId="2" fillId="5" borderId="3" xfId="0" applyFont="1" applyFill="1" applyBorder="1" applyAlignment="1">
      <alignment horizontal="center" vertical="center"/>
    </xf>
    <xf numFmtId="0" fontId="2" fillId="6" borderId="3" xfId="0" applyFont="1" applyFill="1" applyBorder="1" applyAlignment="1">
      <alignment horizontal="center" vertical="center"/>
    </xf>
    <xf numFmtId="0" fontId="2" fillId="5" borderId="0" xfId="0" applyFont="1" applyFill="1" applyAlignment="1">
      <alignment horizontal="center" vertical="center" wrapText="1"/>
    </xf>
    <xf numFmtId="0" fontId="2" fillId="2" borderId="6" xfId="0" applyFont="1" applyFill="1" applyBorder="1" applyAlignment="1">
      <alignment horizontal="center" vertical="center" wrapText="1"/>
    </xf>
    <xf numFmtId="0" fontId="2" fillId="0" borderId="1" xfId="0" applyFont="1" applyBorder="1" applyAlignment="1">
      <alignment vertical="top"/>
    </xf>
    <xf numFmtId="10" fontId="0" fillId="2" borderId="0" xfId="0" applyNumberFormat="1" applyFill="1" applyAlignment="1">
      <alignment horizontal="center" vertical="center" wrapText="1"/>
    </xf>
    <xf numFmtId="10" fontId="1" fillId="3" borderId="0" xfId="0" applyNumberFormat="1" applyFont="1" applyFill="1" applyAlignment="1">
      <alignment vertical="top" wrapText="1"/>
    </xf>
    <xf numFmtId="10" fontId="1" fillId="4" borderId="0" xfId="0" applyNumberFormat="1" applyFont="1" applyFill="1" applyAlignment="1">
      <alignment vertical="top" wrapText="1"/>
    </xf>
    <xf numFmtId="10" fontId="1" fillId="5" borderId="0" xfId="0" applyNumberFormat="1" applyFont="1" applyFill="1" applyAlignment="1">
      <alignment vertical="top" wrapText="1"/>
    </xf>
    <xf numFmtId="10" fontId="1" fillId="6" borderId="0" xfId="0" applyNumberFormat="1" applyFont="1" applyFill="1" applyAlignment="1">
      <alignment horizontal="center" vertical="center" wrapText="1"/>
    </xf>
    <xf numFmtId="0" fontId="0" fillId="0" borderId="1" xfId="0" applyBorder="1" applyAlignment="1">
      <alignment horizontal="left" wrapText="1"/>
    </xf>
    <xf numFmtId="164" fontId="2" fillId="0" borderId="0" xfId="0" applyNumberFormat="1" applyFont="1" applyAlignment="1">
      <alignment vertical="top" wrapText="1"/>
    </xf>
    <xf numFmtId="0" fontId="2" fillId="4" borderId="2" xfId="0" applyFont="1" applyFill="1" applyBorder="1" applyAlignment="1">
      <alignment horizontal="center" vertical="center"/>
    </xf>
    <xf numFmtId="0" fontId="2" fillId="4" borderId="0" xfId="0" applyFont="1" applyFill="1" applyAlignment="1">
      <alignment horizontal="center" vertical="center"/>
    </xf>
    <xf numFmtId="0" fontId="2" fillId="3" borderId="2" xfId="0" applyFont="1" applyFill="1" applyBorder="1" applyAlignment="1">
      <alignment horizontal="center" vertical="center"/>
    </xf>
    <xf numFmtId="0" fontId="2" fillId="3" borderId="0" xfId="0" applyFont="1" applyFill="1" applyAlignment="1">
      <alignment horizontal="center" vertical="center"/>
    </xf>
    <xf numFmtId="0" fontId="1" fillId="2" borderId="2" xfId="0" applyFont="1" applyFill="1" applyBorder="1" applyAlignment="1">
      <alignment horizontal="center" vertical="center"/>
    </xf>
    <xf numFmtId="0" fontId="1" fillId="2" borderId="0" xfId="0" applyFont="1" applyFill="1" applyAlignment="1">
      <alignment horizontal="center" vertical="center"/>
    </xf>
    <xf numFmtId="0" fontId="2" fillId="6" borderId="2" xfId="0" applyFont="1" applyFill="1" applyBorder="1" applyAlignment="1">
      <alignment horizontal="center" vertical="center"/>
    </xf>
    <xf numFmtId="0" fontId="2" fillId="6" borderId="0" xfId="0" applyFont="1" applyFill="1" applyAlignment="1">
      <alignment horizontal="center" vertical="center"/>
    </xf>
    <xf numFmtId="0" fontId="2" fillId="5" borderId="2" xfId="0" applyFont="1" applyFill="1" applyBorder="1" applyAlignment="1">
      <alignment horizontal="center" vertical="center"/>
    </xf>
    <xf numFmtId="0" fontId="2" fillId="5" borderId="0" xfId="0" applyFont="1" applyFill="1" applyAlignment="1">
      <alignment horizontal="center" vertical="center"/>
    </xf>
    <xf numFmtId="0" fontId="0" fillId="0" borderId="1" xfId="0" applyBorder="1" applyAlignment="1">
      <alignment horizontal="center" vertical="center" wrapText="1"/>
    </xf>
    <xf numFmtId="0" fontId="7" fillId="0" borderId="0" xfId="0" applyFont="1">
      <alignment wrapText="1"/>
    </xf>
    <xf numFmtId="0" fontId="0" fillId="10" borderId="0" xfId="0" applyFill="1">
      <alignment wrapText="1"/>
    </xf>
    <xf numFmtId="0" fontId="8" fillId="0" borderId="9"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 xfId="0" applyFont="1" applyBorder="1" applyAlignment="1">
      <alignment horizontal="center" vertical="center"/>
    </xf>
    <xf numFmtId="10" fontId="6" fillId="0" borderId="1" xfId="0" applyNumberFormat="1" applyFont="1" applyBorder="1" applyAlignment="1">
      <alignment horizontal="center" vertical="center"/>
    </xf>
    <xf numFmtId="0" fontId="6" fillId="0" borderId="3" xfId="0" applyFont="1" applyBorder="1" applyAlignment="1">
      <alignment horizontal="center" vertical="center"/>
    </xf>
    <xf numFmtId="0" fontId="8" fillId="0" borderId="7" xfId="0" applyFont="1" applyBorder="1" applyAlignment="1">
      <alignment horizontal="center" vertical="center"/>
    </xf>
    <xf numFmtId="0" fontId="6" fillId="0" borderId="8" xfId="0" applyFont="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horizontal="center" vertical="center"/>
    </xf>
    <xf numFmtId="0" fontId="6" fillId="0" borderId="7" xfId="0" applyFont="1" applyBorder="1" applyAlignment="1">
      <alignment horizontal="center" vertical="center" wrapText="1"/>
    </xf>
    <xf numFmtId="0" fontId="6" fillId="0" borderId="7" xfId="0" applyFont="1" applyBorder="1" applyAlignment="1">
      <alignment horizontal="center" vertical="center"/>
    </xf>
    <xf numFmtId="0" fontId="6" fillId="0" borderId="13" xfId="0" applyFont="1" applyBorder="1" applyAlignment="1">
      <alignment horizontal="center" vertical="center" wrapText="1"/>
    </xf>
    <xf numFmtId="0" fontId="6" fillId="0" borderId="14" xfId="0" applyFont="1" applyBorder="1" applyAlignment="1">
      <alignment horizontal="center" vertical="center"/>
    </xf>
    <xf numFmtId="9" fontId="6" fillId="0" borderId="1" xfId="0" applyNumberFormat="1" applyFont="1" applyBorder="1" applyAlignment="1">
      <alignment horizontal="center" vertical="center"/>
    </xf>
    <xf numFmtId="9" fontId="6" fillId="0" borderId="7" xfId="0" applyNumberFormat="1" applyFont="1" applyBorder="1" applyAlignment="1">
      <alignment horizontal="center" vertical="center"/>
    </xf>
    <xf numFmtId="0" fontId="0" fillId="11" borderId="0" xfId="0" applyFill="1">
      <alignment wrapText="1"/>
    </xf>
    <xf numFmtId="0" fontId="13" fillId="11" borderId="0" xfId="0" applyFont="1" applyFill="1">
      <alignment wrapText="1"/>
    </xf>
    <xf numFmtId="0" fontId="0" fillId="11" borderId="0" xfId="0" applyFill="1" applyAlignment="1">
      <alignment vertical="top" wrapText="1"/>
    </xf>
    <xf numFmtId="0" fontId="14" fillId="11" borderId="6" xfId="0" applyFont="1" applyFill="1" applyBorder="1" applyAlignment="1">
      <alignment vertical="top" wrapText="1"/>
    </xf>
    <xf numFmtId="0" fontId="14" fillId="11" borderId="0" xfId="0" applyFont="1" applyFill="1" applyAlignment="1">
      <alignment vertical="top" wrapText="1"/>
    </xf>
    <xf numFmtId="0" fontId="15" fillId="11" borderId="0" xfId="0" applyFont="1" applyFill="1" applyAlignment="1"/>
    <xf numFmtId="0" fontId="10" fillId="12" borderId="11"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2" fillId="11" borderId="16" xfId="0" applyFont="1" applyFill="1" applyBorder="1" applyAlignment="1">
      <alignment horizontal="center" vertical="center" wrapText="1"/>
    </xf>
    <xf numFmtId="0" fontId="8" fillId="0" borderId="13" xfId="0" applyFont="1" applyBorder="1" applyAlignment="1">
      <alignment horizontal="center" vertical="center"/>
    </xf>
    <xf numFmtId="0" fontId="10" fillId="12" borderId="15" xfId="0" applyFont="1" applyFill="1" applyBorder="1" applyAlignment="1">
      <alignment horizontal="center" vertical="center" wrapText="1"/>
    </xf>
    <xf numFmtId="0" fontId="6" fillId="0" borderId="13" xfId="0" applyFont="1" applyBorder="1" applyAlignment="1">
      <alignment horizontal="center" vertical="center"/>
    </xf>
    <xf numFmtId="0" fontId="10" fillId="11" borderId="15" xfId="0" applyFont="1" applyFill="1" applyBorder="1" applyAlignment="1">
      <alignment horizontal="center" vertical="center"/>
    </xf>
    <xf numFmtId="0" fontId="10" fillId="11" borderId="15" xfId="0" applyFont="1" applyFill="1" applyBorder="1" applyAlignment="1">
      <alignment horizontal="center" vertical="center" wrapText="1"/>
    </xf>
    <xf numFmtId="0" fontId="6" fillId="0" borderId="18" xfId="0" applyFont="1" applyBorder="1" applyAlignment="1">
      <alignment horizontal="center" vertical="center"/>
    </xf>
    <xf numFmtId="0" fontId="12" fillId="11" borderId="16" xfId="0" applyFont="1" applyFill="1" applyBorder="1" applyAlignment="1">
      <alignment horizontal="center" vertical="center" wrapText="1"/>
    </xf>
    <xf numFmtId="0" fontId="8" fillId="0" borderId="17" xfId="0" applyFont="1" applyBorder="1" applyAlignment="1">
      <alignment horizontal="center" vertical="center" wrapText="1"/>
    </xf>
    <xf numFmtId="10" fontId="10" fillId="12" borderId="15" xfId="0" applyNumberFormat="1" applyFont="1" applyFill="1" applyBorder="1" applyAlignment="1">
      <alignment horizontal="center" vertical="center" wrapText="1"/>
    </xf>
    <xf numFmtId="0" fontId="10" fillId="12" borderId="15" xfId="0" applyFont="1" applyFill="1" applyBorder="1" applyAlignment="1">
      <alignment horizontal="center" vertical="center"/>
    </xf>
    <xf numFmtId="0" fontId="10" fillId="12" borderId="15" xfId="0" applyFont="1" applyFill="1" applyBorder="1" applyAlignment="1" applyProtection="1">
      <alignment horizontal="center" vertical="center" wrapText="1"/>
      <protection locked="0"/>
    </xf>
    <xf numFmtId="0" fontId="8" fillId="0" borderId="13" xfId="0" applyFont="1" applyBorder="1" applyAlignment="1" applyProtection="1">
      <alignment horizontal="center" vertical="center"/>
      <protection locked="0"/>
    </xf>
    <xf numFmtId="0" fontId="8" fillId="0" borderId="1" xfId="0" applyFont="1" applyBorder="1" applyAlignment="1" applyProtection="1">
      <alignment horizontal="center" vertical="center"/>
      <protection locked="0"/>
    </xf>
    <xf numFmtId="0" fontId="16" fillId="11" borderId="0" xfId="0" applyFont="1" applyFill="1" applyAlignment="1">
      <alignment vertical="center" wrapText="1"/>
    </xf>
    <xf numFmtId="0" fontId="11" fillId="0" borderId="17" xfId="0" applyFont="1" applyBorder="1" applyAlignment="1">
      <alignment horizontal="left" wrapText="1"/>
    </xf>
    <xf numFmtId="0" fontId="11" fillId="0" borderId="9" xfId="0" applyFont="1" applyBorder="1" applyAlignment="1">
      <alignment horizontal="left" wrapText="1"/>
    </xf>
    <xf numFmtId="0" fontId="11" fillId="0" borderId="10" xfId="0" applyFont="1" applyBorder="1" applyAlignment="1">
      <alignment horizontal="left" wrapText="1"/>
    </xf>
    <xf numFmtId="10" fontId="6" fillId="0" borderId="13" xfId="0" applyNumberFormat="1" applyFont="1" applyBorder="1" applyAlignment="1">
      <alignment horizontal="left" wrapText="1"/>
    </xf>
    <xf numFmtId="10" fontId="6" fillId="0" borderId="1" xfId="0" applyNumberFormat="1" applyFont="1" applyBorder="1" applyAlignment="1">
      <alignment horizontal="left" wrapText="1"/>
    </xf>
    <xf numFmtId="0" fontId="6" fillId="0" borderId="0" xfId="0" applyFont="1" applyAlignment="1">
      <alignment horizontal="left" wrapText="1"/>
    </xf>
    <xf numFmtId="0" fontId="10" fillId="11" borderId="19" xfId="0" applyFont="1" applyFill="1" applyBorder="1" applyAlignment="1">
      <alignment horizontal="center" vertical="center"/>
    </xf>
    <xf numFmtId="0" fontId="10" fillId="11" borderId="19"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6" fillId="0" borderId="9" xfId="0" applyFont="1" applyBorder="1" applyAlignment="1">
      <alignment horizontal="center" vertical="center" wrapText="1"/>
    </xf>
    <xf numFmtId="0" fontId="8" fillId="0" borderId="1" xfId="0" applyFont="1" applyBorder="1" applyAlignment="1">
      <alignment horizontal="center" vertical="center" wrapText="1"/>
    </xf>
    <xf numFmtId="0" fontId="6" fillId="0" borderId="13" xfId="0" applyFont="1" applyBorder="1" applyAlignment="1" applyProtection="1">
      <alignment horizontal="center" vertical="center" wrapText="1"/>
      <protection locked="0"/>
    </xf>
    <xf numFmtId="10" fontId="6" fillId="0" borderId="13" xfId="0" applyNumberFormat="1"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protection locked="0"/>
    </xf>
    <xf numFmtId="0" fontId="10" fillId="11" borderId="15" xfId="0" applyFont="1" applyFill="1" applyBorder="1" applyAlignment="1" applyProtection="1">
      <alignment horizontal="center" vertical="center"/>
      <protection locked="0"/>
    </xf>
    <xf numFmtId="0" fontId="10" fillId="11" borderId="15" xfId="0" applyFont="1" applyFill="1" applyBorder="1" applyAlignment="1" applyProtection="1">
      <alignment horizontal="center" vertical="center" wrapText="1"/>
      <protection locked="0"/>
    </xf>
    <xf numFmtId="0" fontId="12" fillId="12" borderId="15" xfId="0" applyFont="1" applyFill="1" applyBorder="1" applyAlignment="1">
      <alignment horizontal="center" vertical="center" wrapText="1"/>
    </xf>
    <xf numFmtId="0" fontId="11" fillId="0" borderId="1" xfId="0" applyFont="1" applyBorder="1" applyAlignment="1">
      <alignment horizontal="center" vertical="center" wrapText="1"/>
    </xf>
    <xf numFmtId="10" fontId="6" fillId="0" borderId="1" xfId="0" applyNumberFormat="1" applyFont="1" applyBorder="1" applyAlignment="1">
      <alignment horizontal="center" vertical="center" wrapText="1"/>
    </xf>
    <xf numFmtId="10" fontId="6" fillId="0" borderId="13" xfId="0" applyNumberFormat="1" applyFont="1" applyBorder="1" applyAlignment="1" applyProtection="1">
      <alignment horizontal="center" vertical="center" wrapText="1"/>
      <protection locked="0"/>
    </xf>
    <xf numFmtId="0" fontId="6" fillId="0" borderId="13" xfId="0" applyFont="1" applyBorder="1" applyAlignment="1" applyProtection="1">
      <alignment horizontal="center" vertical="center"/>
      <protection locked="0"/>
    </xf>
    <xf numFmtId="10" fontId="6" fillId="0" borderId="1" xfId="0" applyNumberFormat="1" applyFont="1" applyBorder="1" applyAlignment="1" applyProtection="1">
      <alignment horizontal="center" vertical="center" wrapText="1"/>
      <protection locked="0"/>
    </xf>
    <xf numFmtId="10" fontId="11" fillId="0" borderId="1" xfId="0" applyNumberFormat="1" applyFont="1" applyBorder="1" applyAlignment="1" applyProtection="1">
      <alignment horizontal="center" vertical="center" wrapText="1"/>
      <protection locked="0"/>
    </xf>
    <xf numFmtId="9" fontId="6" fillId="0" borderId="13" xfId="0" applyNumberFormat="1" applyFont="1" applyBorder="1" applyAlignment="1">
      <alignment horizontal="center" vertical="center"/>
    </xf>
    <xf numFmtId="9" fontId="6" fillId="0" borderId="13" xfId="0" applyNumberFormat="1" applyFont="1" applyBorder="1" applyAlignment="1" applyProtection="1">
      <alignment horizontal="center" vertical="center"/>
      <protection locked="0"/>
    </xf>
    <xf numFmtId="9" fontId="6" fillId="0" borderId="1" xfId="0" applyNumberFormat="1" applyFont="1" applyBorder="1" applyAlignment="1" applyProtection="1">
      <alignment horizontal="center" vertical="center"/>
      <protection locked="0"/>
    </xf>
    <xf numFmtId="9" fontId="11" fillId="0" borderId="1" xfId="0" applyNumberFormat="1" applyFont="1" applyBorder="1" applyAlignment="1" applyProtection="1">
      <alignment horizontal="center" vertical="center"/>
      <protection locked="0"/>
    </xf>
    <xf numFmtId="0" fontId="6" fillId="0" borderId="13" xfId="0" applyFont="1" applyBorder="1" applyProtection="1">
      <alignment wrapText="1"/>
      <protection locked="0"/>
    </xf>
    <xf numFmtId="14" fontId="6" fillId="0" borderId="13" xfId="0" applyNumberFormat="1" applyFont="1" applyBorder="1" applyProtection="1">
      <alignment wrapText="1"/>
      <protection locked="0"/>
    </xf>
    <xf numFmtId="0" fontId="6" fillId="0" borderId="1" xfId="0" applyFont="1" applyBorder="1" applyProtection="1">
      <alignment wrapText="1"/>
      <protection locked="0"/>
    </xf>
    <xf numFmtId="14" fontId="6" fillId="0" borderId="1" xfId="0" applyNumberFormat="1" applyFont="1" applyBorder="1" applyProtection="1">
      <alignment wrapText="1"/>
      <protection locked="0"/>
    </xf>
    <xf numFmtId="9" fontId="6" fillId="0" borderId="13" xfId="0" applyNumberFormat="1" applyFont="1" applyBorder="1" applyAlignment="1">
      <alignment horizontal="center" vertical="center" wrapText="1"/>
    </xf>
    <xf numFmtId="9" fontId="6" fillId="0" borderId="1" xfId="0" applyNumberFormat="1" applyFont="1" applyBorder="1" applyAlignment="1">
      <alignment horizontal="center" vertical="center" wrapText="1"/>
    </xf>
    <xf numFmtId="0" fontId="11" fillId="0" borderId="13" xfId="0" applyFont="1" applyBorder="1" applyAlignment="1">
      <alignment horizontal="center" vertical="center" wrapText="1"/>
    </xf>
    <xf numFmtId="0" fontId="0" fillId="11" borderId="0" xfId="0" applyFill="1" applyAlignment="1">
      <alignment vertical="center" wrapText="1"/>
    </xf>
    <xf numFmtId="0" fontId="11" fillId="0" borderId="1" xfId="0" quotePrefix="1" applyFont="1" applyBorder="1" applyAlignment="1">
      <alignment horizontal="center" vertical="center" wrapText="1"/>
    </xf>
    <xf numFmtId="0" fontId="0" fillId="13" borderId="22" xfId="0" applyFill="1" applyBorder="1">
      <alignment wrapText="1"/>
    </xf>
    <xf numFmtId="0" fontId="0" fillId="13" borderId="23" xfId="0" applyFill="1" applyBorder="1">
      <alignment wrapText="1"/>
    </xf>
    <xf numFmtId="0" fontId="0" fillId="0" borderId="24" xfId="0" applyBorder="1">
      <alignment wrapText="1"/>
    </xf>
    <xf numFmtId="0" fontId="0" fillId="11" borderId="22" xfId="0" applyFill="1" applyBorder="1" applyAlignment="1">
      <alignment vertical="top" wrapText="1"/>
    </xf>
    <xf numFmtId="0" fontId="0" fillId="11" borderId="23" xfId="0" applyFill="1" applyBorder="1" applyAlignment="1">
      <alignment vertical="top" wrapText="1"/>
    </xf>
    <xf numFmtId="0" fontId="0" fillId="0" borderId="26" xfId="0" applyBorder="1">
      <alignment wrapText="1"/>
    </xf>
    <xf numFmtId="0" fontId="6" fillId="12" borderId="29" xfId="0" applyFont="1" applyFill="1" applyBorder="1" applyAlignment="1">
      <alignment horizontal="center" vertical="center" wrapText="1"/>
    </xf>
    <xf numFmtId="0" fontId="6" fillId="12" borderId="30" xfId="0" applyFont="1" applyFill="1" applyBorder="1" applyAlignment="1">
      <alignment horizontal="center" vertical="center" wrapText="1"/>
    </xf>
    <xf numFmtId="0" fontId="6" fillId="12" borderId="28" xfId="0" applyFont="1" applyFill="1" applyBorder="1" applyAlignment="1">
      <alignment horizontal="center" vertical="center" wrapText="1"/>
    </xf>
    <xf numFmtId="0" fontId="6" fillId="0" borderId="1" xfId="0" applyFont="1" applyBorder="1" applyAlignment="1">
      <alignment horizontal="left" wrapText="1"/>
    </xf>
    <xf numFmtId="164" fontId="12" fillId="12" borderId="15" xfId="0" applyNumberFormat="1" applyFont="1" applyFill="1" applyBorder="1" applyAlignment="1">
      <alignment horizontal="center" vertical="center" wrapText="1"/>
    </xf>
    <xf numFmtId="164" fontId="12" fillId="12" borderId="19"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164" fontId="6" fillId="0" borderId="13" xfId="0" applyNumberFormat="1" applyFont="1" applyBorder="1" applyAlignment="1">
      <alignment horizontal="center" vertical="center"/>
    </xf>
    <xf numFmtId="0" fontId="0" fillId="0" borderId="25" xfId="0" applyBorder="1" applyProtection="1">
      <alignment wrapText="1"/>
      <protection locked="0"/>
    </xf>
    <xf numFmtId="0" fontId="0" fillId="0" borderId="27" xfId="0" applyBorder="1" applyProtection="1">
      <alignment wrapText="1"/>
      <protection locked="0"/>
    </xf>
    <xf numFmtId="0" fontId="12" fillId="11" borderId="20" xfId="0" applyFont="1" applyFill="1" applyBorder="1" applyAlignment="1">
      <alignment horizontal="center" vertical="center" wrapText="1"/>
    </xf>
    <xf numFmtId="0" fontId="12" fillId="11" borderId="21" xfId="0" applyFont="1" applyFill="1" applyBorder="1" applyAlignment="1">
      <alignment horizontal="center" vertical="center" wrapText="1"/>
    </xf>
    <xf numFmtId="0" fontId="12" fillId="11" borderId="22" xfId="0" applyFont="1" applyFill="1" applyBorder="1" applyAlignment="1">
      <alignment horizontal="center" vertical="center" wrapText="1"/>
    </xf>
    <xf numFmtId="0" fontId="12" fillId="11" borderId="23" xfId="0" applyFont="1" applyFill="1" applyBorder="1" applyAlignment="1">
      <alignment horizontal="center" vertical="center" wrapText="1"/>
    </xf>
    <xf numFmtId="0" fontId="9" fillId="10" borderId="0" xfId="0" applyFont="1" applyFill="1" applyAlignment="1">
      <alignment horizontal="center" wrapText="1"/>
    </xf>
  </cellXfs>
  <cellStyles count="4">
    <cellStyle name="Bra" xfId="1" builtinId="26"/>
    <cellStyle name="Dålig" xfId="2" builtinId="27"/>
    <cellStyle name="Neutral" xfId="3" builtinId="28"/>
    <cellStyle name="Normal" xfId="0" builtinId="0" customBuiltin="1"/>
  </cellStyles>
  <dxfs count="16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right/>
        <top style="thin">
          <color indexed="64"/>
        </top>
        <bottom style="thin">
          <color indexed="64"/>
        </bottom>
      </border>
    </dxf>
    <dxf>
      <font>
        <strike val="0"/>
        <outline val="0"/>
        <shadow val="0"/>
        <u val="none"/>
        <vertAlign val="baseline"/>
        <sz val="16"/>
        <color theme="1"/>
        <name val="Calibri"/>
        <family val="2"/>
        <scheme val="minor"/>
      </font>
      <numFmt numFmtId="14" formatCode="0.00%"/>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auto="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auto="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6"/>
        <color rgb="FFFF0000"/>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auto="1"/>
        <name val="Calibri"/>
        <family val="2"/>
        <scheme val="minor"/>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6"/>
        <color rgb="FFFF0000"/>
        <name val="Calibri"/>
        <family val="2"/>
        <scheme val="minor"/>
      </font>
      <alignment horizontal="center" vertical="center" textRotation="0" wrapText="1" indent="0" justifyLastLine="0" shrinkToFit="0" readingOrder="0"/>
      <border diagonalUp="0" diagonalDown="0" outline="0">
        <left/>
        <right/>
        <top style="thin">
          <color indexed="64"/>
        </top>
        <bottom style="thin">
          <color indexed="64"/>
        </bottom>
      </border>
    </dxf>
    <dxf>
      <border outline="0">
        <bottom style="thin">
          <color indexed="64"/>
        </bottom>
      </border>
    </dxf>
    <dxf>
      <font>
        <strike val="0"/>
        <outline val="0"/>
        <shadow val="0"/>
        <u val="none"/>
        <vertAlign val="baseline"/>
        <sz val="16"/>
        <name val="Calibri"/>
        <family val="2"/>
        <scheme val="minor"/>
      </font>
      <alignment horizontal="center" vertical="center" textRotation="0" indent="0" justifyLastLine="0" shrinkToFit="0" readingOrder="0"/>
    </dxf>
    <dxf>
      <border>
        <bottom style="thin">
          <color theme="0"/>
        </bottom>
      </border>
    </dxf>
    <dxf>
      <font>
        <strike val="0"/>
        <outline val="0"/>
        <shadow val="0"/>
        <u val="none"/>
        <vertAlign val="baseline"/>
        <sz val="16"/>
        <color theme="0"/>
        <name val="Calibri"/>
        <family val="2"/>
        <scheme val="minor"/>
      </font>
      <fill>
        <patternFill patternType="solid">
          <fgColor indexed="64"/>
          <bgColor rgb="FF004E44"/>
        </patternFill>
      </fill>
      <border diagonalUp="0" diagonalDown="0">
        <left style="thin">
          <color theme="0"/>
        </left>
        <right style="thin">
          <color theme="0"/>
        </right>
        <top/>
        <bottom/>
        <vertical style="thin">
          <color theme="0"/>
        </vertical>
        <horizontal style="thin">
          <color theme="0"/>
        </horizontal>
      </border>
    </dxf>
    <dxf>
      <font>
        <color theme="0"/>
      </font>
      <fill>
        <patternFill>
          <bgColor rgb="FFF8696B"/>
        </patternFill>
      </fill>
    </dxf>
    <dxf>
      <fill>
        <patternFill>
          <bgColor rgb="FFFFEB84"/>
        </patternFill>
      </fill>
    </dxf>
    <dxf>
      <fill>
        <patternFill>
          <bgColor rgb="FF63BE7B"/>
        </patternFill>
      </fill>
    </dxf>
    <dxf>
      <fill>
        <patternFill>
          <bgColor rgb="FF63BE7B"/>
        </patternFill>
      </fill>
    </dxf>
    <dxf>
      <fill>
        <patternFill>
          <bgColor rgb="FFFFEB84"/>
        </patternFill>
      </fill>
    </dxf>
    <dxf>
      <font>
        <color theme="0"/>
      </font>
      <fill>
        <patternFill>
          <bgColor rgb="FFF8696B"/>
        </patternFill>
      </fil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auto="1"/>
        <name val="Calibri"/>
        <family val="2"/>
        <scheme val="minor"/>
      </font>
      <numFmt numFmtId="1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rgb="FF000000"/>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6"/>
        <name val="Calibri"/>
        <family val="2"/>
        <scheme val="minor"/>
      </font>
      <alignment horizontal="center" vertical="center" textRotation="0" indent="0" justifyLastLine="0" shrinkToFit="0" readingOrder="0"/>
    </dxf>
    <dxf>
      <border>
        <bottom style="thin">
          <color indexed="64"/>
        </bottom>
      </border>
    </dxf>
    <dxf>
      <font>
        <strike val="0"/>
        <outline val="0"/>
        <shadow val="0"/>
        <u val="none"/>
        <vertAlign val="baseline"/>
        <sz val="16"/>
        <color theme="0"/>
        <name val="Calibri"/>
        <family val="2"/>
        <scheme val="minor"/>
      </font>
      <border diagonalUp="0" diagonalDown="0" outline="0">
        <left style="thin">
          <color indexed="64"/>
        </left>
        <right style="thin">
          <color indexed="64"/>
        </right>
        <top/>
        <bottom/>
      </border>
    </dxf>
    <dxf>
      <font>
        <color theme="0"/>
      </font>
      <fill>
        <patternFill>
          <bgColor rgb="FFF8696B"/>
        </patternFill>
      </fill>
    </dxf>
    <dxf>
      <fill>
        <patternFill>
          <bgColor rgb="FFFFEB84"/>
        </patternFill>
      </fill>
    </dxf>
    <dxf>
      <fill>
        <patternFill>
          <bgColor rgb="FF63BE7B"/>
        </patternFill>
      </fill>
    </dxf>
    <dxf>
      <fill>
        <patternFill>
          <bgColor rgb="FF63BE7B"/>
        </patternFill>
      </fill>
    </dxf>
    <dxf>
      <fill>
        <patternFill>
          <bgColor rgb="FFFFEB84"/>
        </patternFill>
      </fill>
    </dxf>
    <dxf>
      <font>
        <color theme="0"/>
      </font>
      <fill>
        <patternFill>
          <bgColor rgb="FFF8696B"/>
        </patternFill>
      </fill>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14" formatCode="0.0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6"/>
        <color rgb="FF000000"/>
        <name val="Calibri"/>
        <family val="2"/>
        <scheme val="minor"/>
      </font>
      <alignment horizontal="left" vertical="bottom"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6"/>
        <color theme="1"/>
        <name val="Calibri"/>
        <family val="2"/>
        <scheme val="minor"/>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6"/>
        <name val="Calibri"/>
        <family val="2"/>
        <scheme val="minor"/>
      </font>
      <alignment horizontal="center" vertical="center" textRotation="0" indent="0" justifyLastLine="0" shrinkToFit="0" readingOrder="0"/>
    </dxf>
    <dxf>
      <border outline="0">
        <bottom style="thin">
          <color theme="4" tint="0.39997558519241921"/>
        </bottom>
      </border>
    </dxf>
    <dxf>
      <font>
        <strike val="0"/>
        <outline val="0"/>
        <shadow val="0"/>
        <u val="none"/>
        <vertAlign val="baseline"/>
        <sz val="16"/>
        <color theme="0"/>
        <name val="Calibri"/>
        <family val="2"/>
        <scheme val="minor"/>
      </font>
    </dxf>
    <dxf>
      <font>
        <color theme="0"/>
      </font>
      <fill>
        <patternFill>
          <bgColor rgb="FFF8696B"/>
        </patternFill>
      </fill>
    </dxf>
    <dxf>
      <fill>
        <patternFill>
          <bgColor rgb="FFFFEB84"/>
        </patternFill>
      </fill>
    </dxf>
    <dxf>
      <fill>
        <patternFill>
          <bgColor rgb="FF63BE7B"/>
        </patternFill>
      </fill>
    </dxf>
    <dxf>
      <fill>
        <patternFill>
          <bgColor rgb="FF63BE7B"/>
        </patternFill>
      </fill>
    </dxf>
    <dxf>
      <fill>
        <patternFill>
          <bgColor rgb="FFFFEB84"/>
        </patternFill>
      </fill>
    </dxf>
    <dxf>
      <font>
        <color theme="0"/>
      </font>
      <fill>
        <patternFill>
          <bgColor rgb="FFF8696B"/>
        </patternFill>
      </fill>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name val="Calibri"/>
        <family val="2"/>
        <scheme val="minor"/>
      </font>
      <numFmt numFmtId="14" formatCode="0.00%"/>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1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6"/>
        <color rgb="FF000000"/>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6"/>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left style="thin">
          <color indexed="64"/>
        </left>
      </border>
    </dxf>
    <dxf>
      <font>
        <strike val="0"/>
        <outline val="0"/>
        <shadow val="0"/>
        <u val="none"/>
        <vertAlign val="baseline"/>
        <sz val="16"/>
        <name val="Calibri"/>
        <family val="2"/>
        <scheme val="minor"/>
      </font>
      <alignment horizontal="center" vertical="center" textRotation="0" indent="0" justifyLastLine="0" shrinkToFit="0" readingOrder="0"/>
      <protection locked="0" hidden="0"/>
    </dxf>
    <dxf>
      <border outline="0">
        <bottom style="thin">
          <color theme="4" tint="0.39997558519241921"/>
        </bottom>
      </border>
    </dxf>
    <dxf>
      <font>
        <strike val="0"/>
        <outline val="0"/>
        <shadow val="0"/>
        <u val="none"/>
        <vertAlign val="baseline"/>
        <sz val="16"/>
        <name val="Calibri"/>
        <family val="2"/>
        <scheme val="minor"/>
      </font>
      <protection locked="0" hidden="0"/>
    </dxf>
    <dxf>
      <font>
        <color theme="0"/>
      </font>
      <fill>
        <patternFill>
          <bgColor rgb="FFF8696B"/>
        </patternFill>
      </fill>
    </dxf>
    <dxf>
      <fill>
        <patternFill>
          <bgColor rgb="FFFFEB84"/>
        </patternFill>
      </fill>
    </dxf>
    <dxf>
      <fill>
        <patternFill>
          <bgColor rgb="FF63BE7B"/>
        </patternFill>
      </fill>
    </dxf>
    <dxf>
      <fill>
        <patternFill>
          <bgColor rgb="FF63BE7B"/>
        </patternFill>
      </fill>
    </dxf>
    <dxf>
      <fill>
        <patternFill>
          <bgColor rgb="FFFFEB84"/>
        </patternFill>
      </fill>
    </dxf>
    <dxf>
      <font>
        <color theme="0"/>
      </font>
      <fill>
        <patternFill>
          <bgColor rgb="FFF8696B"/>
        </patternFill>
      </fill>
    </dxf>
    <dxf>
      <font>
        <strike val="0"/>
        <outline val="0"/>
        <shadow val="0"/>
        <u val="none"/>
        <vertAlign val="baseline"/>
        <sz val="16"/>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6"/>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6"/>
        <color theme="1"/>
        <name val="Calibri"/>
        <family val="2"/>
        <scheme val="minor"/>
      </font>
      <numFmt numFmtId="164" formatCode="0;0;;@\ "/>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style="thin">
          <color indexed="64"/>
        </bottom>
      </border>
      <protection locked="1" hidden="0"/>
    </dxf>
    <dxf>
      <font>
        <strike val="0"/>
        <outline val="0"/>
        <shadow val="0"/>
        <u val="none"/>
        <vertAlign val="baseline"/>
        <sz val="16"/>
        <name val="Calibri"/>
        <family val="2"/>
        <scheme val="minor"/>
      </font>
      <numFmt numFmtId="164" formatCode="0;0;;@\ "/>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6"/>
        <name val="Calibri"/>
        <family val="2"/>
        <scheme val="minor"/>
      </font>
      <numFmt numFmtId="13"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6"/>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trike val="0"/>
        <outline val="0"/>
        <shadow val="0"/>
        <u val="none"/>
        <vertAlign val="baseline"/>
        <sz val="16"/>
        <name val="Calibri"/>
        <family val="2"/>
        <scheme val="minor"/>
      </font>
      <border diagonalUp="0" diagonalDown="0" outline="0">
        <left style="thin">
          <color indexed="64"/>
        </left>
        <right style="thin">
          <color indexed="64"/>
        </right>
        <top style="thin">
          <color indexed="64"/>
        </top>
        <bottom style="thin">
          <color indexed="64"/>
        </bottom>
      </border>
      <protection locked="0" hidden="0"/>
    </dxf>
    <dxf>
      <border>
        <top style="thin">
          <color theme="0"/>
        </top>
      </border>
    </dxf>
    <dxf>
      <border diagonalUp="0" diagonalDown="0">
        <left style="thin">
          <color theme="0"/>
        </left>
        <right style="thin">
          <color theme="0"/>
        </right>
        <top style="thin">
          <color theme="0"/>
        </top>
        <bottom style="thin">
          <color theme="0"/>
        </bottom>
      </border>
    </dxf>
    <dxf>
      <font>
        <strike val="0"/>
        <outline val="0"/>
        <shadow val="0"/>
        <u val="none"/>
        <vertAlign val="baseline"/>
        <sz val="16"/>
        <name val="Calibri"/>
        <family val="2"/>
        <scheme val="minor"/>
      </font>
      <protection locked="0" hidden="0"/>
    </dxf>
    <dxf>
      <border>
        <bottom style="thin">
          <color theme="0"/>
        </bottom>
      </border>
    </dxf>
    <dxf>
      <font>
        <strike val="0"/>
        <outline val="0"/>
        <shadow val="0"/>
        <u val="none"/>
        <vertAlign val="baseline"/>
        <sz val="16"/>
        <color theme="0"/>
        <name val="Calibri"/>
        <family val="2"/>
        <scheme val="minor"/>
      </font>
      <fill>
        <patternFill patternType="solid">
          <fgColor indexed="64"/>
          <bgColor rgb="FF019583"/>
        </patternFill>
      </fill>
      <alignment horizontal="center" vertical="center" textRotation="0" wrapText="1" indent="0" justifyLastLine="0" shrinkToFit="0" readingOrder="0"/>
      <border diagonalUp="0" diagonalDown="0" outline="0">
        <left style="thin">
          <color theme="0"/>
        </left>
        <right style="thin">
          <color theme="0"/>
        </right>
        <top/>
        <bottom/>
      </border>
    </dxf>
    <dxf>
      <font>
        <color theme="0"/>
      </font>
      <fill>
        <patternFill>
          <bgColor rgb="FFF8696B"/>
        </patternFill>
      </fill>
    </dxf>
    <dxf>
      <fill>
        <patternFill>
          <bgColor rgb="FFFFEB84"/>
        </patternFill>
      </fill>
    </dxf>
    <dxf>
      <fill>
        <patternFill>
          <bgColor rgb="FF63BE7B"/>
        </patternFill>
      </fill>
    </dxf>
    <dxf>
      <fill>
        <patternFill>
          <bgColor theme="9"/>
        </patternFill>
      </fill>
    </dxf>
    <dxf>
      <fill>
        <patternFill>
          <bgColor rgb="FFFFC000"/>
        </patternFill>
      </fill>
    </dxf>
    <dxf>
      <fill>
        <patternFill>
          <bgColor rgb="FF63BE7B"/>
        </patternFill>
      </fill>
    </dxf>
    <dxf>
      <fill>
        <patternFill>
          <bgColor rgb="FFFFE684"/>
        </patternFill>
      </fill>
    </dxf>
    <dxf>
      <font>
        <color theme="0"/>
      </font>
      <fill>
        <patternFill>
          <bgColor rgb="FFFF7979"/>
        </patternFill>
      </fill>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14" formatCode="0.00%"/>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Calibri"/>
        <family val="2"/>
        <scheme val="minor"/>
      </font>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0"/>
        </top>
      </border>
    </dxf>
    <dxf>
      <fill>
        <patternFill patternType="solid">
          <fgColor indexed="64"/>
          <bgColor rgb="FF004E44"/>
        </patternFill>
      </fill>
    </dxf>
    <dxf>
      <border outline="0">
        <bottom style="thin">
          <color theme="0"/>
        </bottom>
      </border>
    </dxf>
    <dxf>
      <font>
        <b val="0"/>
        <i val="0"/>
        <strike val="0"/>
        <condense val="0"/>
        <extend val="0"/>
        <outline val="0"/>
        <shadow val="0"/>
        <u val="none"/>
        <vertAlign val="baseline"/>
        <sz val="16"/>
        <color theme="1"/>
        <name val="Calibri"/>
        <family val="2"/>
        <scheme val="minor"/>
      </font>
      <fill>
        <patternFill patternType="solid">
          <fgColor indexed="64"/>
          <bgColor rgb="FF019583"/>
        </patternFill>
      </fill>
      <alignment horizontal="center" vertical="center" textRotation="0" wrapText="1" indent="0" justifyLastLine="0" shrinkToFit="0" readingOrder="0"/>
      <border diagonalUp="0" diagonalDown="0" outline="0">
        <left style="thin">
          <color theme="0"/>
        </left>
        <right style="thin">
          <color theme="0"/>
        </right>
        <top/>
        <bottom/>
      </border>
    </dxf>
    <dxf>
      <font>
        <color theme="0"/>
      </font>
      <fill>
        <patternFill>
          <bgColor rgb="FFF8696B"/>
        </patternFill>
      </fill>
    </dxf>
    <dxf>
      <fill>
        <patternFill>
          <bgColor rgb="FFFFEB84"/>
        </patternFill>
      </fill>
    </dxf>
    <dxf>
      <fill>
        <patternFill>
          <bgColor rgb="FF63BE7B"/>
        </patternFill>
      </fill>
    </dxf>
    <dxf>
      <fill>
        <patternFill>
          <bgColor rgb="FF63BE7B"/>
        </patternFill>
      </fill>
    </dxf>
    <dxf>
      <fill>
        <patternFill>
          <bgColor rgb="FFFFEB84"/>
        </patternFill>
      </fill>
    </dxf>
    <dxf>
      <font>
        <color theme="0"/>
      </font>
      <fill>
        <patternFill>
          <bgColor rgb="FFF8696B"/>
        </patternFill>
      </fill>
    </dxf>
    <dxf>
      <border diagonalUp="0" diagonalDown="0" outline="0">
        <left style="thin">
          <color rgb="FF00D6B7"/>
        </left>
        <right style="thin">
          <color rgb="FF00D6B7"/>
        </right>
        <top style="thin">
          <color rgb="FF00D6B7"/>
        </top>
        <bottom style="thin">
          <color rgb="FF00D6B7"/>
        </bottom>
      </border>
      <protection locked="0" hidden="0"/>
    </dxf>
    <dxf>
      <border diagonalUp="0" diagonalDown="0" outline="0">
        <left style="thin">
          <color rgb="FF00D6B7"/>
        </left>
        <right style="thin">
          <color rgb="FF00D6B7"/>
        </right>
        <top style="thin">
          <color rgb="FF00D6B7"/>
        </top>
        <bottom style="thin">
          <color rgb="FF00D6B7"/>
        </bottom>
      </border>
    </dxf>
    <dxf>
      <fill>
        <patternFill patternType="solid">
          <fgColor indexed="64"/>
          <bgColor rgb="FF00D6B7"/>
        </patternFill>
      </fill>
    </dxf>
    <dxf>
      <border diagonalUp="0" diagonalDown="0" outline="0">
        <left style="thin">
          <color rgb="FF00D6B7"/>
        </left>
        <right style="thin">
          <color rgb="FF00D6B7"/>
        </right>
        <top style="thin">
          <color rgb="FF00D6B7"/>
        </top>
        <bottom style="thin">
          <color rgb="FF00D6B7"/>
        </bottom>
      </border>
      <protection locked="0" hidden="0"/>
    </dxf>
    <dxf>
      <border diagonalUp="0" diagonalDown="0" outline="0">
        <left style="thin">
          <color rgb="FF00D6B7"/>
        </left>
        <right style="thin">
          <color rgb="FF00D6B7"/>
        </right>
        <top style="thin">
          <color rgb="FF00D6B7"/>
        </top>
        <bottom style="thin">
          <color rgb="FF00D6B7"/>
        </bottom>
      </border>
    </dxf>
    <dxf>
      <fill>
        <patternFill patternType="solid">
          <fgColor indexed="64"/>
          <bgColor rgb="FF00D6B7"/>
        </patternFill>
      </fill>
    </dxf>
    <dxf>
      <font>
        <color rgb="FF00D6B7"/>
      </font>
      <fill>
        <patternFill>
          <bgColor rgb="FF00DEC4"/>
        </patternFill>
      </fill>
    </dxf>
    <dxf>
      <font>
        <color rgb="FF004E44"/>
      </font>
      <fill>
        <patternFill>
          <bgColor rgb="FF004E44"/>
        </patternFill>
      </fill>
    </dxf>
  </dxfs>
  <tableStyles count="1" defaultTableStyle="TableStyleMedium2" defaultPivotStyle="PivotStyleLight16">
    <tableStyle name="Table Style 1" pivot="0" count="2" xr9:uid="{0F1C98BE-45C3-4593-A402-9F6E8DF01416}">
      <tableStyleElement type="firstRowStripe" dxfId="159"/>
      <tableStyleElement type="secondRowStripe" dxfId="158"/>
    </tableStyle>
  </tableStyles>
  <colors>
    <mruColors>
      <color rgb="FF00D6B7"/>
      <color rgb="FF63BE7B"/>
      <color rgb="FFFFE684"/>
      <color rgb="FFF8696B"/>
      <color rgb="FFFF7979"/>
      <color rgb="FFFFEB84"/>
      <color rgb="FF004E44"/>
      <color rgb="FF019583"/>
      <color rgb="FF00DEC4"/>
      <color rgb="FF0050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22" Type="http://schemas.microsoft.com/office/2006/relationships/vbaProject" Target="vbaProject.bin"/><Relationship Id="rId7"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2.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3.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4.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5.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6.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7.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_rels/drawing9.xml.rels><?xml version="1.0" encoding="UTF-8" standalone="yes"?>
<Relationships xmlns="http://schemas.openxmlformats.org/package/2006/relationships"><Relationship Id="rId3" Type="http://schemas.openxmlformats.org/officeDocument/2006/relationships/hyperlink" Target="#'ICT Risk Management'!A1"/><Relationship Id="rId7" Type="http://schemas.openxmlformats.org/officeDocument/2006/relationships/hyperlink" Target="#'Introduction DORA'!A1"/><Relationship Id="rId2" Type="http://schemas.openxmlformats.org/officeDocument/2006/relationships/hyperlink" Target="#'Task Manager '!A1"/><Relationship Id="rId1" Type="http://schemas.openxmlformats.org/officeDocument/2006/relationships/hyperlink" Target="#'Overall results'!A1"/><Relationship Id="rId6" Type="http://schemas.openxmlformats.org/officeDocument/2006/relationships/hyperlink" Target="#'Third Party Risk Mangement'!A1"/><Relationship Id="rId5" Type="http://schemas.openxmlformats.org/officeDocument/2006/relationships/hyperlink" Target="#Testing!A1"/><Relationship Id="rId4" Type="http://schemas.openxmlformats.org/officeDocument/2006/relationships/hyperlink" Target="#'ICT-related incident management'!A1"/><Relationship Id="rId8" Type="http://schemas.openxmlformats.org/officeDocument/2006/relationships/hyperlink" Target="#&apos;Information Sharing&apos;!A1"/></Relationships>
</file>

<file path=xl/drawings/drawing1.xml><?xml version="1.0" encoding="utf-8"?>
<xdr:wsDr xmlns:xdr="http://schemas.openxmlformats.org/drawingml/2006/spreadsheetDrawing" xmlns:a="http://schemas.openxmlformats.org/drawingml/2006/main">
  <xdr:twoCellAnchor>
    <xdr:from>
      <xdr:col>0</xdr:col>
      <xdr:colOff>212122</xdr:colOff>
      <xdr:row>0</xdr:row>
      <xdr:rowOff>0</xdr:rowOff>
    </xdr:from>
    <xdr:to>
      <xdr:col>1</xdr:col>
      <xdr:colOff>560795</xdr:colOff>
      <xdr:row>0</xdr:row>
      <xdr:rowOff>1151467</xdr:rowOff>
    </xdr:to>
    <xdr:sp macro="" textlink="">
      <xdr:nvSpPr>
        <xdr:cNvPr id="3" name="Text Box 9">
          <a:extLst>
            <a:ext uri="{FF2B5EF4-FFF2-40B4-BE49-F238E27FC236}">
              <a16:creationId xmlns:a16="http://schemas.microsoft.com/office/drawing/2014/main" id="{0CA839A9-F9B2-44B4-A8DD-24CDA2AF9E6D}"/>
            </a:ext>
          </a:extLst>
        </xdr:cNvPr>
        <xdr:cNvSpPr txBox="1">
          <a:spLocks noChangeArrowheads="1"/>
        </xdr:cNvSpPr>
      </xdr:nvSpPr>
      <xdr:spPr bwMode="auto">
        <a:xfrm>
          <a:off x="212122" y="0"/>
          <a:ext cx="2905606" cy="1151467"/>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1</xdr:col>
      <xdr:colOff>3736650</xdr:colOff>
      <xdr:row>0</xdr:row>
      <xdr:rowOff>240133</xdr:rowOff>
    </xdr:from>
    <xdr:to>
      <xdr:col>1</xdr:col>
      <xdr:colOff>6308603</xdr:colOff>
      <xdr:row>0</xdr:row>
      <xdr:rowOff>980443</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E38FA0D3-BE6D-4F95-B0BF-8A376B6F51B0}"/>
            </a:ext>
          </a:extLst>
        </xdr:cNvPr>
        <xdr:cNvSpPr/>
      </xdr:nvSpPr>
      <xdr:spPr>
        <a:xfrm>
          <a:off x="6285886" y="240133"/>
          <a:ext cx="2571953" cy="740310"/>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Overall Result</a:t>
          </a:r>
        </a:p>
      </xdr:txBody>
    </xdr:sp>
    <xdr:clientData/>
  </xdr:twoCellAnchor>
  <xdr:twoCellAnchor>
    <xdr:from>
      <xdr:col>1</xdr:col>
      <xdr:colOff>6495026</xdr:colOff>
      <xdr:row>0</xdr:row>
      <xdr:rowOff>240133</xdr:rowOff>
    </xdr:from>
    <xdr:to>
      <xdr:col>1</xdr:col>
      <xdr:colOff>9127988</xdr:colOff>
      <xdr:row>0</xdr:row>
      <xdr:rowOff>983082</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C7923336-557F-46FE-9460-52C89AC4A1A5}"/>
            </a:ext>
          </a:extLst>
        </xdr:cNvPr>
        <xdr:cNvSpPr/>
      </xdr:nvSpPr>
      <xdr:spPr>
        <a:xfrm>
          <a:off x="9044262" y="240133"/>
          <a:ext cx="2632962" cy="742949"/>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Task Manager</a:t>
          </a:r>
        </a:p>
      </xdr:txBody>
    </xdr:sp>
    <xdr:clientData/>
  </xdr:twoCellAnchor>
  <xdr:twoCellAnchor>
    <xdr:from>
      <xdr:col>1</xdr:col>
      <xdr:colOff>9314411</xdr:colOff>
      <xdr:row>0</xdr:row>
      <xdr:rowOff>240133</xdr:rowOff>
    </xdr:from>
    <xdr:to>
      <xdr:col>1</xdr:col>
      <xdr:colOff>13310972</xdr:colOff>
      <xdr:row>0</xdr:row>
      <xdr:rowOff>978227</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0A4D7C2B-1CEF-47C9-AFB0-71A3CE01162A}"/>
            </a:ext>
          </a:extLst>
        </xdr:cNvPr>
        <xdr:cNvSpPr/>
      </xdr:nvSpPr>
      <xdr:spPr>
        <a:xfrm>
          <a:off x="11863647" y="240133"/>
          <a:ext cx="3996561" cy="738094"/>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ICT Risk Management</a:t>
          </a:r>
        </a:p>
      </xdr:txBody>
    </xdr:sp>
    <xdr:clientData/>
  </xdr:twoCellAnchor>
  <xdr:twoCellAnchor>
    <xdr:from>
      <xdr:col>1</xdr:col>
      <xdr:colOff>13497395</xdr:colOff>
      <xdr:row>0</xdr:row>
      <xdr:rowOff>240133</xdr:rowOff>
    </xdr:from>
    <xdr:to>
      <xdr:col>3</xdr:col>
      <xdr:colOff>786983</xdr:colOff>
      <xdr:row>0</xdr:row>
      <xdr:rowOff>1007081</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95342E45-4602-4CCB-A3A3-D2E916503DAB}"/>
            </a:ext>
          </a:extLst>
        </xdr:cNvPr>
        <xdr:cNvSpPr/>
      </xdr:nvSpPr>
      <xdr:spPr>
        <a:xfrm flipH="1">
          <a:off x="16046631" y="240133"/>
          <a:ext cx="3540970" cy="766948"/>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ICT</a:t>
          </a:r>
          <a:r>
            <a:rPr lang="en-US" sz="1800" baseline="0">
              <a:solidFill>
                <a:sysClr val="windowText" lastClr="000000"/>
              </a:solidFill>
            </a:rPr>
            <a:t>-related Incident Management</a:t>
          </a:r>
          <a:endParaRPr lang="en-US" sz="1800">
            <a:solidFill>
              <a:sysClr val="windowText" lastClr="000000"/>
            </a:solidFill>
          </a:endParaRPr>
        </a:p>
      </xdr:txBody>
    </xdr:sp>
    <xdr:clientData/>
  </xdr:twoCellAnchor>
  <xdr:twoCellAnchor>
    <xdr:from>
      <xdr:col>3</xdr:col>
      <xdr:colOff>935307</xdr:colOff>
      <xdr:row>0</xdr:row>
      <xdr:rowOff>221083</xdr:rowOff>
    </xdr:from>
    <xdr:to>
      <xdr:col>4</xdr:col>
      <xdr:colOff>1692729</xdr:colOff>
      <xdr:row>0</xdr:row>
      <xdr:rowOff>983241</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8FE3F2C5-5594-4158-B176-CA13369AD711}"/>
            </a:ext>
          </a:extLst>
        </xdr:cNvPr>
        <xdr:cNvSpPr/>
      </xdr:nvSpPr>
      <xdr:spPr>
        <a:xfrm>
          <a:off x="19756707" y="221083"/>
          <a:ext cx="2891022" cy="762158"/>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Testing</a:t>
          </a:r>
        </a:p>
      </xdr:txBody>
    </xdr:sp>
    <xdr:clientData/>
  </xdr:twoCellAnchor>
  <xdr:twoCellAnchor>
    <xdr:from>
      <xdr:col>4</xdr:col>
      <xdr:colOff>1901727</xdr:colOff>
      <xdr:row>0</xdr:row>
      <xdr:rowOff>217908</xdr:rowOff>
    </xdr:from>
    <xdr:to>
      <xdr:col>5</xdr:col>
      <xdr:colOff>2622177</xdr:colOff>
      <xdr:row>0</xdr:row>
      <xdr:rowOff>989479</xdr:rowOff>
    </xdr:to>
    <xdr:sp macro="" textlink="">
      <xdr:nvSpPr>
        <xdr:cNvPr id="9" name="Rectangle: Rounded Corners 8">
          <a:hlinkClick xmlns:r="http://schemas.openxmlformats.org/officeDocument/2006/relationships" r:id="rId6"/>
          <a:extLst>
            <a:ext uri="{FF2B5EF4-FFF2-40B4-BE49-F238E27FC236}">
              <a16:creationId xmlns:a16="http://schemas.microsoft.com/office/drawing/2014/main" id="{15946D8A-1FCB-4F7E-8825-BBFAC46E8FAC}"/>
            </a:ext>
          </a:extLst>
        </xdr:cNvPr>
        <xdr:cNvSpPr/>
      </xdr:nvSpPr>
      <xdr:spPr>
        <a:xfrm>
          <a:off x="22285227" y="217908"/>
          <a:ext cx="3084891" cy="771571"/>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Third Party Risk Management</a:t>
          </a:r>
        </a:p>
      </xdr:txBody>
    </xdr:sp>
    <xdr:clientData/>
  </xdr:twoCellAnchor>
  <xdr:twoCellAnchor>
    <xdr:from>
      <xdr:col>1</xdr:col>
      <xdr:colOff>250199</xdr:colOff>
      <xdr:row>0</xdr:row>
      <xdr:rowOff>236958</xdr:rowOff>
    </xdr:from>
    <xdr:to>
      <xdr:col>1</xdr:col>
      <xdr:colOff>3588328</xdr:colOff>
      <xdr:row>0</xdr:row>
      <xdr:rowOff>986793</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3CE0BADB-9FE4-4911-A8DC-76A12A7CE4B1}"/>
            </a:ext>
          </a:extLst>
        </xdr:cNvPr>
        <xdr:cNvSpPr/>
      </xdr:nvSpPr>
      <xdr:spPr>
        <a:xfrm>
          <a:off x="2799435" y="236958"/>
          <a:ext cx="3338129" cy="749835"/>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Introduction</a:t>
          </a:r>
        </a:p>
      </xdr:txBody>
    </xdr:sp>
    <xdr:clientData/>
  </xdr:twoCellAnchor>
  <xdr:twoCellAnchor>
    <xdr:from>
      <xdr:col>0</xdr:col>
      <xdr:colOff>663794</xdr:colOff>
      <xdr:row>33</xdr:row>
      <xdr:rowOff>119904</xdr:rowOff>
    </xdr:from>
    <xdr:to>
      <xdr:col>3</xdr:col>
      <xdr:colOff>1063866</xdr:colOff>
      <xdr:row>36</xdr:row>
      <xdr:rowOff>169170</xdr:rowOff>
    </xdr:to>
    <xdr:sp macro="" textlink="">
      <xdr:nvSpPr>
        <xdr:cNvPr id="12" name="TextBox 11">
          <a:extLst>
            <a:ext uri="{FF2B5EF4-FFF2-40B4-BE49-F238E27FC236}">
              <a16:creationId xmlns:a16="http://schemas.microsoft.com/office/drawing/2014/main" id="{0760A952-5056-4CAB-B55C-7562DAB8F60A}"/>
            </a:ext>
          </a:extLst>
        </xdr:cNvPr>
        <xdr:cNvSpPr txBox="1"/>
      </xdr:nvSpPr>
      <xdr:spPr>
        <a:xfrm>
          <a:off x="663794" y="9087011"/>
          <a:ext cx="18701679" cy="620766"/>
        </a:xfrm>
        <a:prstGeom prst="rect">
          <a:avLst/>
        </a:prstGeom>
        <a:solidFill>
          <a:srgbClr val="00DEC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Overall Result</a:t>
          </a:r>
        </a:p>
      </xdr:txBody>
    </xdr:sp>
    <xdr:clientData/>
  </xdr:twoCellAnchor>
  <xdr:twoCellAnchor>
    <xdr:from>
      <xdr:col>0</xdr:col>
      <xdr:colOff>666750</xdr:colOff>
      <xdr:row>36</xdr:row>
      <xdr:rowOff>173878</xdr:rowOff>
    </xdr:from>
    <xdr:to>
      <xdr:col>3</xdr:col>
      <xdr:colOff>1060174</xdr:colOff>
      <xdr:row>58</xdr:row>
      <xdr:rowOff>1430</xdr:rowOff>
    </xdr:to>
    <xdr:sp macro="" textlink="">
      <xdr:nvSpPr>
        <xdr:cNvPr id="13" name="TextBox 12">
          <a:extLst>
            <a:ext uri="{FF2B5EF4-FFF2-40B4-BE49-F238E27FC236}">
              <a16:creationId xmlns:a16="http://schemas.microsoft.com/office/drawing/2014/main" id="{3880EDE1-AA09-4029-AF3E-E3F6A0EF8EF6}"/>
            </a:ext>
          </a:extLst>
        </xdr:cNvPr>
        <xdr:cNvSpPr txBox="1"/>
      </xdr:nvSpPr>
      <xdr:spPr>
        <a:xfrm>
          <a:off x="666750" y="9707161"/>
          <a:ext cx="18689707" cy="4018552"/>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bg1"/>
              </a:solidFill>
            </a:rPr>
            <a:t>The Overall Result page provides a clear and concise summary of the results of ICT Risk Management, Incident Management, Testing, and Third-Party Risk Management activities. The purpose of this page is to provide stakeholders with a quick and easy way to understand the current state of risk within the organization. By presenting key results in a clear and easy-to-understand format, stakeholders can quickly identify areas of concern and take appropriate action to mitigate risk.</a:t>
          </a:r>
        </a:p>
        <a:p>
          <a:endParaRPr lang="en-US" sz="1600">
            <a:solidFill>
              <a:schemeClr val="bg1"/>
            </a:solidFill>
          </a:endParaRPr>
        </a:p>
        <a:p>
          <a:r>
            <a:rPr lang="en-US" sz="1600">
              <a:solidFill>
                <a:schemeClr val="bg1"/>
              </a:solidFill>
            </a:rPr>
            <a:t>One of the key features of the overall result page is the ability to filter results by priority and topic. This tool allows stakeholders to focus on the most important issues and quickly identify areas where additional attention is needed. By filtering results based on priority and topic, stakeholders can prioritize their efforts and ensure that they are addressing the most critical risks first.</a:t>
          </a:r>
        </a:p>
        <a:p>
          <a:endParaRPr lang="en-US" sz="1600">
            <a:solidFill>
              <a:schemeClr val="bg1"/>
            </a:solidFill>
          </a:endParaRPr>
        </a:p>
        <a:p>
          <a:r>
            <a:rPr lang="en-US" sz="1600">
              <a:solidFill>
                <a:schemeClr val="bg1"/>
              </a:solidFill>
            </a:rPr>
            <a:t>In addition to filtering results, the overall result page also highlights key results from each of the activities. This allows stakeholders to quickly assess the effectiveness of each activity and identify areas where improvements may be needed.</a:t>
          </a:r>
        </a:p>
      </xdr:txBody>
    </xdr:sp>
    <xdr:clientData/>
  </xdr:twoCellAnchor>
  <xdr:twoCellAnchor>
    <xdr:from>
      <xdr:col>1</xdr:col>
      <xdr:colOff>8077200</xdr:colOff>
      <xdr:row>60</xdr:row>
      <xdr:rowOff>111032</xdr:rowOff>
    </xdr:from>
    <xdr:to>
      <xdr:col>3</xdr:col>
      <xdr:colOff>1095375</xdr:colOff>
      <xdr:row>83</xdr:row>
      <xdr:rowOff>153535</xdr:rowOff>
    </xdr:to>
    <xdr:grpSp>
      <xdr:nvGrpSpPr>
        <xdr:cNvPr id="22" name="Group 21">
          <a:extLst>
            <a:ext uri="{FF2B5EF4-FFF2-40B4-BE49-F238E27FC236}">
              <a16:creationId xmlns:a16="http://schemas.microsoft.com/office/drawing/2014/main" id="{AB045C34-0A69-40D4-B209-02559832B5A2}"/>
            </a:ext>
          </a:extLst>
        </xdr:cNvPr>
        <xdr:cNvGrpSpPr/>
      </xdr:nvGrpSpPr>
      <xdr:grpSpPr>
        <a:xfrm>
          <a:off x="10572750" y="13865132"/>
          <a:ext cx="8829675" cy="4424003"/>
          <a:chOff x="20199263" y="6094269"/>
          <a:chExt cx="9451198" cy="3783704"/>
        </a:xfrm>
      </xdr:grpSpPr>
      <xdr:sp macro="" textlink="">
        <xdr:nvSpPr>
          <xdr:cNvPr id="14" name="TextBox 13">
            <a:extLst>
              <a:ext uri="{FF2B5EF4-FFF2-40B4-BE49-F238E27FC236}">
                <a16:creationId xmlns:a16="http://schemas.microsoft.com/office/drawing/2014/main" id="{075C9F15-EEF9-4823-95A0-5AE3D309D552}"/>
              </a:ext>
            </a:extLst>
          </xdr:cNvPr>
          <xdr:cNvSpPr txBox="1"/>
        </xdr:nvSpPr>
        <xdr:spPr>
          <a:xfrm>
            <a:off x="20201660" y="6094269"/>
            <a:ext cx="9448798" cy="485496"/>
          </a:xfrm>
          <a:prstGeom prst="rect">
            <a:avLst/>
          </a:prstGeom>
          <a:solidFill>
            <a:srgbClr val="00DEC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Task Manager</a:t>
            </a:r>
          </a:p>
        </xdr:txBody>
      </xdr:sp>
      <xdr:sp macro="" textlink="">
        <xdr:nvSpPr>
          <xdr:cNvPr id="15" name="TextBox 14">
            <a:extLst>
              <a:ext uri="{FF2B5EF4-FFF2-40B4-BE49-F238E27FC236}">
                <a16:creationId xmlns:a16="http://schemas.microsoft.com/office/drawing/2014/main" id="{70D9B66F-B2AC-4BEA-A95C-0E32CE30A61E}"/>
              </a:ext>
            </a:extLst>
          </xdr:cNvPr>
          <xdr:cNvSpPr txBox="1"/>
        </xdr:nvSpPr>
        <xdr:spPr>
          <a:xfrm>
            <a:off x="20199263" y="6587517"/>
            <a:ext cx="9451198" cy="3290456"/>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bg1"/>
                </a:solidFill>
              </a:rPr>
              <a:t>The Task Manager page provides a comprehensive overview of the tasks that must be completed to meet the DORA requirements. </a:t>
            </a:r>
          </a:p>
          <a:p>
            <a:endParaRPr lang="en-US" sz="1600">
              <a:solidFill>
                <a:schemeClr val="bg1"/>
              </a:solidFill>
            </a:endParaRPr>
          </a:p>
          <a:p>
            <a:r>
              <a:rPr lang="en-US" sz="1600">
                <a:solidFill>
                  <a:schemeClr val="bg1"/>
                </a:solidFill>
              </a:rPr>
              <a:t>Each task listed in the Task Manager page is accompanied by its priority level and its status. The priority level is assigned to each task based on its importance for each individual orgnisation in achieving the DORA objectives. Tasks with higher priority levels are those that are considered critical to the success of the DORA assessment, and they should be completed first. On the other hand, tasks with lower priority levels are those that are less critical and can be completed later.</a:t>
            </a:r>
          </a:p>
          <a:p>
            <a:endParaRPr lang="en-US" sz="1600">
              <a:solidFill>
                <a:schemeClr val="bg1"/>
              </a:solidFill>
            </a:endParaRPr>
          </a:p>
          <a:p>
            <a:r>
              <a:rPr lang="en-US" sz="1600">
                <a:solidFill>
                  <a:schemeClr val="bg1"/>
                </a:solidFill>
              </a:rPr>
              <a:t>The status of each task on the Task Manager page indicates whether it has been completed, is currently in progress, or has not yet been started. This helps to track progress and ensure that all tasks are completed on time. By monitoring the status of each task, stakeholders can identify any potential delays or roadblocks that may hinder the completion of the DORA assessment.</a:t>
            </a:r>
          </a:p>
        </xdr:txBody>
      </xdr:sp>
    </xdr:grpSp>
    <xdr:clientData/>
  </xdr:twoCellAnchor>
  <xdr:twoCellAnchor>
    <xdr:from>
      <xdr:col>0</xdr:col>
      <xdr:colOff>673365</xdr:colOff>
      <xdr:row>60</xdr:row>
      <xdr:rowOff>111035</xdr:rowOff>
    </xdr:from>
    <xdr:to>
      <xdr:col>1</xdr:col>
      <xdr:colOff>7419329</xdr:colOff>
      <xdr:row>66</xdr:row>
      <xdr:rowOff>42603</xdr:rowOff>
    </xdr:to>
    <xdr:sp macro="" textlink="">
      <xdr:nvSpPr>
        <xdr:cNvPr id="16" name="TextBox 15">
          <a:extLst>
            <a:ext uri="{FF2B5EF4-FFF2-40B4-BE49-F238E27FC236}">
              <a16:creationId xmlns:a16="http://schemas.microsoft.com/office/drawing/2014/main" id="{9538EDCC-A1DD-4F10-93FE-A340BCA0E628}"/>
            </a:ext>
          </a:extLst>
        </xdr:cNvPr>
        <xdr:cNvSpPr txBox="1"/>
      </xdr:nvSpPr>
      <xdr:spPr>
        <a:xfrm>
          <a:off x="673365" y="13796555"/>
          <a:ext cx="9306284" cy="1028848"/>
        </a:xfrm>
        <a:prstGeom prst="rect">
          <a:avLst/>
        </a:prstGeom>
        <a:solidFill>
          <a:srgbClr val="00DEC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Sections: </a:t>
          </a:r>
          <a:r>
            <a:rPr lang="en-US" sz="2000" i="1"/>
            <a:t>ICT Risk Management, ICT-related incident management, Digital operational resilience testing, Managing of ICT third-party risk</a:t>
          </a:r>
          <a:endParaRPr lang="en-US" sz="2800" i="1"/>
        </a:p>
      </xdr:txBody>
    </xdr:sp>
    <xdr:clientData/>
  </xdr:twoCellAnchor>
  <xdr:twoCellAnchor>
    <xdr:from>
      <xdr:col>0</xdr:col>
      <xdr:colOff>675416</xdr:colOff>
      <xdr:row>66</xdr:row>
      <xdr:rowOff>39708</xdr:rowOff>
    </xdr:from>
    <xdr:to>
      <xdr:col>1</xdr:col>
      <xdr:colOff>7420767</xdr:colOff>
      <xdr:row>83</xdr:row>
      <xdr:rowOff>137104</xdr:rowOff>
    </xdr:to>
    <xdr:sp macro="" textlink="">
      <xdr:nvSpPr>
        <xdr:cNvPr id="17" name="TextBox 16">
          <a:extLst>
            <a:ext uri="{FF2B5EF4-FFF2-40B4-BE49-F238E27FC236}">
              <a16:creationId xmlns:a16="http://schemas.microsoft.com/office/drawing/2014/main" id="{14F61D5B-4550-4244-B655-2EC856BCE1DB}"/>
            </a:ext>
          </a:extLst>
        </xdr:cNvPr>
        <xdr:cNvSpPr txBox="1"/>
      </xdr:nvSpPr>
      <xdr:spPr>
        <a:xfrm>
          <a:off x="675416" y="14822508"/>
          <a:ext cx="9305671" cy="3206356"/>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bg1"/>
              </a:solidFill>
            </a:rPr>
            <a:t>The tables includes: Topic, Question, Article, Section, DORA Text, Requirements for specific companies, Do you meet the requirements today?, % requirements meet, Priority, Effort level (How much effort will it take to implement), Comments/Tasks. </a:t>
          </a:r>
        </a:p>
      </xdr:txBody>
    </xdr:sp>
    <xdr:clientData/>
  </xdr:twoCellAnchor>
  <xdr:twoCellAnchor>
    <xdr:from>
      <xdr:col>0</xdr:col>
      <xdr:colOff>398744</xdr:colOff>
      <xdr:row>1</xdr:row>
      <xdr:rowOff>31991</xdr:rowOff>
    </xdr:from>
    <xdr:to>
      <xdr:col>3</xdr:col>
      <xdr:colOff>1072341</xdr:colOff>
      <xdr:row>28</xdr:row>
      <xdr:rowOff>121227</xdr:rowOff>
    </xdr:to>
    <xdr:sp macro="" textlink="">
      <xdr:nvSpPr>
        <xdr:cNvPr id="18" name="TextBox 17">
          <a:extLst>
            <a:ext uri="{FF2B5EF4-FFF2-40B4-BE49-F238E27FC236}">
              <a16:creationId xmlns:a16="http://schemas.microsoft.com/office/drawing/2014/main" id="{AC24788A-9AF9-424F-9A64-3BFC025C0D20}"/>
            </a:ext>
          </a:extLst>
        </xdr:cNvPr>
        <xdr:cNvSpPr txBox="1"/>
      </xdr:nvSpPr>
      <xdr:spPr>
        <a:xfrm>
          <a:off x="398744" y="1679816"/>
          <a:ext cx="18971122" cy="6451936"/>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a:solidFill>
                <a:schemeClr val="bg1"/>
              </a:solidFill>
              <a:effectLst/>
              <a:latin typeface="+mn-lt"/>
              <a:ea typeface="+mn-ea"/>
              <a:cs typeface="+mn-cs"/>
            </a:rPr>
            <a:t>The Digital Operational Resilience Act (DORA) aims to improve the operational resilience of financial institutions in the European Union (EU). It recognizes the increasing reliance on digital technology by financial services institutions and seeks to address the risks and challenges associated with such reliance.</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 </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The DORA applies to all financial services institutions operating in the EU, including banks, insurers, and investment firms. It also covers third-party service providers that support these institutions.</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 </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The DORA will be enforced by the relevant national competent authorities, which will have the power to impose fines and other sanctions for non-compliance. The European Supervisory Authorities (ESAs) will develop technical standards to help financial institutions comply with the DORA.</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 </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An cross organisational  governance framework</a:t>
          </a:r>
          <a:r>
            <a:rPr lang="en-GB" sz="1600" baseline="0">
              <a:solidFill>
                <a:schemeClr val="bg1"/>
              </a:solidFill>
              <a:effectLst/>
              <a:latin typeface="+mn-lt"/>
              <a:ea typeface="+mn-ea"/>
              <a:cs typeface="+mn-cs"/>
            </a:rPr>
            <a:t> </a:t>
          </a:r>
          <a:r>
            <a:rPr lang="en-GB" sz="1600">
              <a:solidFill>
                <a:schemeClr val="bg1"/>
              </a:solidFill>
              <a:effectLst/>
              <a:latin typeface="+mn-lt"/>
              <a:ea typeface="+mn-ea"/>
              <a:cs typeface="+mn-cs"/>
            </a:rPr>
            <a:t>is crucial for the successful implementation of the Digital Operational Resilience Act (DORA). An cross organisational governance framework</a:t>
          </a:r>
          <a:r>
            <a:rPr lang="en-GB" sz="1600" baseline="0">
              <a:solidFill>
                <a:schemeClr val="bg1"/>
              </a:solidFill>
              <a:effectLst/>
              <a:latin typeface="+mn-lt"/>
              <a:ea typeface="+mn-ea"/>
              <a:cs typeface="+mn-cs"/>
            </a:rPr>
            <a:t> </a:t>
          </a:r>
          <a:r>
            <a:rPr lang="en-GB" sz="1600">
              <a:solidFill>
                <a:schemeClr val="bg1"/>
              </a:solidFill>
              <a:effectLst/>
              <a:latin typeface="+mn-lt"/>
              <a:ea typeface="+mn-ea"/>
              <a:cs typeface="+mn-cs"/>
            </a:rPr>
            <a:t>facilitates the development of a shared understanding of the risks and the actions required to manage them effectively. Overall, DORA promotes an cross organisational  governance framework which is a key component of any organization's efforts to manage and mitigate the risks associated with digital technology. DORA encourages financial entities to develop a comprehensive and coordinated approach to digital resiliency, ensuring that they are well-positioned to withstand the ever-evolving digital threat landscape.</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 </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Therefore, it is crucial for financial institutions to prioritize digital resiliency and take measures to manage and mitigate the risks associated with their use of digital technology. The Digital Operational Resilience Act (DORA) is a step in this direction, as it seeks to establish a framework for ensuring the operational resilience of financial institutions in the EU.</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 </a:t>
          </a:r>
          <a:endParaRPr lang="en-US" sz="1600">
            <a:solidFill>
              <a:schemeClr val="bg1"/>
            </a:solidFill>
            <a:effectLst/>
            <a:latin typeface="+mn-lt"/>
            <a:ea typeface="+mn-ea"/>
            <a:cs typeface="+mn-cs"/>
          </a:endParaRPr>
        </a:p>
        <a:p>
          <a:pPr algn="l"/>
          <a:r>
            <a:rPr lang="en-GB" sz="1600">
              <a:solidFill>
                <a:schemeClr val="bg1"/>
              </a:solidFill>
              <a:effectLst/>
              <a:latin typeface="+mn-lt"/>
              <a:ea typeface="+mn-ea"/>
              <a:cs typeface="+mn-cs"/>
            </a:rPr>
            <a:t>DORA includes a precise set of criteria, templates and instructions that shape how financial organizations manage ICT and cyber risks. The regulation emphasizes frequent reporting, communication and assessments in standardized formats, reflecting EU regulators' hands-on approach to the topic. DORA consists of five core pillars addressing different aspects of ICT and cybersecurity, presenting a comprehensive digital resilience framework for relevant entities. A summary of the key requirements and aspects is provided below.</a:t>
          </a:r>
        </a:p>
        <a:p>
          <a:pPr algn="l"/>
          <a:endParaRPr lang="en-GB" sz="1600">
            <a:solidFill>
              <a:schemeClr val="bg1"/>
            </a:solidFill>
            <a:effectLst/>
            <a:latin typeface="+mn-lt"/>
            <a:ea typeface="+mn-ea"/>
            <a:cs typeface="+mn-cs"/>
          </a:endParaRPr>
        </a:p>
        <a:p>
          <a:pPr algn="l"/>
          <a:r>
            <a:rPr lang="en-GB" sz="1600" i="1">
              <a:solidFill>
                <a:schemeClr val="bg1"/>
              </a:solidFill>
              <a:effectLst/>
              <a:latin typeface="+mn-lt"/>
              <a:ea typeface="+mn-ea"/>
              <a:cs typeface="+mn-cs"/>
            </a:rPr>
            <a:t>This tool is to</a:t>
          </a:r>
          <a:r>
            <a:rPr lang="en-GB" sz="1600" i="1" baseline="0">
              <a:solidFill>
                <a:schemeClr val="bg1"/>
              </a:solidFill>
              <a:effectLst/>
              <a:latin typeface="+mn-lt"/>
              <a:ea typeface="+mn-ea"/>
              <a:cs typeface="+mn-cs"/>
            </a:rPr>
            <a:t> be used as a guide to provide a better understanding of all the DORA requirements, not a final compliance document. There may be questions which the ESA's define and scope differently, than reflected in this guiding tool.</a:t>
          </a:r>
        </a:p>
        <a:p>
          <a:pPr algn="l"/>
          <a:endParaRPr lang="en-GB" sz="1600" i="1" baseline="0">
            <a:solidFill>
              <a:schemeClr val="bg1"/>
            </a:solidFill>
            <a:effectLst/>
            <a:latin typeface="+mn-lt"/>
            <a:ea typeface="+mn-ea"/>
            <a:cs typeface="+mn-cs"/>
          </a:endParaRPr>
        </a:p>
        <a:p>
          <a:pPr algn="l"/>
          <a:r>
            <a:rPr lang="en-GB" sz="1600" i="1" baseline="0">
              <a:solidFill>
                <a:schemeClr val="bg1"/>
              </a:solidFill>
              <a:effectLst/>
              <a:latin typeface="+mn-lt"/>
              <a:ea typeface="+mn-ea"/>
              <a:cs typeface="+mn-cs"/>
            </a:rPr>
            <a:t>The tool represents all 4 sections relevant to financial organizations; ICT Risk Management, ICT Related incident Management, Digital operational resilience testing, Managing ICT Third Party Risk each section is descibed briefly bwlow </a:t>
          </a:r>
          <a:endParaRPr lang="en-US" sz="1600" i="1">
            <a:solidFill>
              <a:schemeClr val="bg1"/>
            </a:solidFill>
            <a:effectLst/>
            <a:latin typeface="+mn-lt"/>
            <a:ea typeface="+mn-ea"/>
            <a:cs typeface="+mn-cs"/>
          </a:endParaRPr>
        </a:p>
      </xdr:txBody>
    </xdr:sp>
    <xdr:clientData/>
  </xdr:twoCellAnchor>
  <xdr:twoCellAnchor>
    <xdr:from>
      <xdr:col>0</xdr:col>
      <xdr:colOff>254001</xdr:colOff>
      <xdr:row>0</xdr:row>
      <xdr:rowOff>1083733</xdr:rowOff>
    </xdr:from>
    <xdr:to>
      <xdr:col>0</xdr:col>
      <xdr:colOff>1202266</xdr:colOff>
      <xdr:row>0</xdr:row>
      <xdr:rowOff>1473200</xdr:rowOff>
    </xdr:to>
    <xdr:sp macro="" textlink="">
      <xdr:nvSpPr>
        <xdr:cNvPr id="19" name="TextBox 18">
          <a:extLst>
            <a:ext uri="{FF2B5EF4-FFF2-40B4-BE49-F238E27FC236}">
              <a16:creationId xmlns:a16="http://schemas.microsoft.com/office/drawing/2014/main" id="{8CACC960-3230-4006-8AE3-975197485948}"/>
            </a:ext>
          </a:extLst>
        </xdr:cNvPr>
        <xdr:cNvSpPr txBox="1"/>
      </xdr:nvSpPr>
      <xdr:spPr>
        <a:xfrm>
          <a:off x="254001" y="1083733"/>
          <a:ext cx="948265" cy="389467"/>
        </a:xfrm>
        <a:prstGeom prst="rect">
          <a:avLst/>
        </a:prstGeom>
        <a:solidFill>
          <a:srgbClr val="004E4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V. 1.0</a:t>
          </a:r>
        </a:p>
      </xdr:txBody>
    </xdr:sp>
    <xdr:clientData/>
  </xdr:twoCellAnchor>
  <xdr:twoCellAnchor>
    <xdr:from>
      <xdr:col>3</xdr:col>
      <xdr:colOff>2026230</xdr:colOff>
      <xdr:row>16</xdr:row>
      <xdr:rowOff>81643</xdr:rowOff>
    </xdr:from>
    <xdr:to>
      <xdr:col>6</xdr:col>
      <xdr:colOff>34637</xdr:colOff>
      <xdr:row>51</xdr:row>
      <xdr:rowOff>64325</xdr:rowOff>
    </xdr:to>
    <xdr:sp macro="" textlink="">
      <xdr:nvSpPr>
        <xdr:cNvPr id="20" name="TextBox 19">
          <a:extLst>
            <a:ext uri="{FF2B5EF4-FFF2-40B4-BE49-F238E27FC236}">
              <a16:creationId xmlns:a16="http://schemas.microsoft.com/office/drawing/2014/main" id="{7E2D8E2B-5688-4A81-BDFE-B25E9A243ECA}"/>
            </a:ext>
          </a:extLst>
        </xdr:cNvPr>
        <xdr:cNvSpPr txBox="1"/>
      </xdr:nvSpPr>
      <xdr:spPr>
        <a:xfrm>
          <a:off x="20327837" y="5442857"/>
          <a:ext cx="8921336" cy="6650182"/>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2400" b="1">
              <a:solidFill>
                <a:schemeClr val="bg1"/>
              </a:solidFill>
              <a:latin typeface="+mn-lt"/>
              <a:ea typeface="+mn-ea"/>
              <a:cs typeface="+mn-cs"/>
            </a:rPr>
            <a:t>EFFORT LEVEL EXAMPLES</a:t>
          </a:r>
          <a:endParaRPr lang="da-DK" sz="1600" b="1">
            <a:solidFill>
              <a:schemeClr val="bg1"/>
            </a:solidFill>
            <a:latin typeface="+mn-lt"/>
            <a:ea typeface="+mn-ea"/>
            <a:cs typeface="+mn-cs"/>
          </a:endParaRPr>
        </a:p>
        <a:p>
          <a:pPr marL="0" indent="0"/>
          <a:endParaRPr lang="da-DK" sz="1600">
            <a:solidFill>
              <a:schemeClr val="bg1"/>
            </a:solidFill>
            <a:latin typeface="+mn-lt"/>
            <a:ea typeface="+mn-ea"/>
            <a:cs typeface="+mn-cs"/>
          </a:endParaRPr>
        </a:p>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twoCellAnchor>
    <xdr:from>
      <xdr:col>1</xdr:col>
      <xdr:colOff>8077200</xdr:colOff>
      <xdr:row>60</xdr:row>
      <xdr:rowOff>111033</xdr:rowOff>
    </xdr:from>
    <xdr:to>
      <xdr:col>3</xdr:col>
      <xdr:colOff>1093132</xdr:colOff>
      <xdr:row>63</xdr:row>
      <xdr:rowOff>107310</xdr:rowOff>
    </xdr:to>
    <xdr:sp macro="" textlink="">
      <xdr:nvSpPr>
        <xdr:cNvPr id="2" name="TextBox 1">
          <a:extLst>
            <a:ext uri="{FF2B5EF4-FFF2-40B4-BE49-F238E27FC236}">
              <a16:creationId xmlns:a16="http://schemas.microsoft.com/office/drawing/2014/main" id="{B3EF521E-D065-4B2A-89D9-FD2011F918BD}"/>
            </a:ext>
          </a:extLst>
        </xdr:cNvPr>
        <xdr:cNvSpPr txBox="1"/>
      </xdr:nvSpPr>
      <xdr:spPr>
        <a:xfrm>
          <a:off x="10558713" y="13721757"/>
          <a:ext cx="8832445" cy="560257"/>
        </a:xfrm>
        <a:prstGeom prst="rect">
          <a:avLst/>
        </a:prstGeom>
        <a:solidFill>
          <a:srgbClr val="00DEC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Task Manager</a:t>
          </a:r>
        </a:p>
      </xdr:txBody>
    </xdr:sp>
    <xdr:clientData/>
  </xdr:twoCellAnchor>
  <xdr:twoCellAnchor>
    <xdr:from>
      <xdr:col>1</xdr:col>
      <xdr:colOff>3116179</xdr:colOff>
      <xdr:row>85</xdr:row>
      <xdr:rowOff>113038</xdr:rowOff>
    </xdr:from>
    <xdr:to>
      <xdr:col>1</xdr:col>
      <xdr:colOff>11950867</xdr:colOff>
      <xdr:row>108</xdr:row>
      <xdr:rowOff>155540</xdr:rowOff>
    </xdr:to>
    <xdr:grpSp>
      <xdr:nvGrpSpPr>
        <xdr:cNvPr id="11" name="Group 10">
          <a:extLst>
            <a:ext uri="{FF2B5EF4-FFF2-40B4-BE49-F238E27FC236}">
              <a16:creationId xmlns:a16="http://schemas.microsoft.com/office/drawing/2014/main" id="{3C70A307-77CF-492F-99BC-EAC9FE82D65F}"/>
            </a:ext>
          </a:extLst>
        </xdr:cNvPr>
        <xdr:cNvGrpSpPr/>
      </xdr:nvGrpSpPr>
      <xdr:grpSpPr>
        <a:xfrm>
          <a:off x="5611729" y="18629638"/>
          <a:ext cx="8834688" cy="4424002"/>
          <a:chOff x="20199263" y="6094269"/>
          <a:chExt cx="9451198" cy="3783704"/>
        </a:xfrm>
      </xdr:grpSpPr>
      <xdr:sp macro="" textlink="">
        <xdr:nvSpPr>
          <xdr:cNvPr id="21" name="TextBox 20">
            <a:extLst>
              <a:ext uri="{FF2B5EF4-FFF2-40B4-BE49-F238E27FC236}">
                <a16:creationId xmlns:a16="http://schemas.microsoft.com/office/drawing/2014/main" id="{8D8D0E68-4227-EE67-6957-1EC64F0B0E51}"/>
              </a:ext>
            </a:extLst>
          </xdr:cNvPr>
          <xdr:cNvSpPr txBox="1"/>
        </xdr:nvSpPr>
        <xdr:spPr>
          <a:xfrm>
            <a:off x="20201660" y="6094269"/>
            <a:ext cx="9448798" cy="485496"/>
          </a:xfrm>
          <a:prstGeom prst="rect">
            <a:avLst/>
          </a:prstGeom>
          <a:solidFill>
            <a:srgbClr val="00DEC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Task Manager</a:t>
            </a:r>
          </a:p>
        </xdr:txBody>
      </xdr:sp>
      <xdr:sp macro="" textlink="">
        <xdr:nvSpPr>
          <xdr:cNvPr id="23" name="TextBox 22">
            <a:extLst>
              <a:ext uri="{FF2B5EF4-FFF2-40B4-BE49-F238E27FC236}">
                <a16:creationId xmlns:a16="http://schemas.microsoft.com/office/drawing/2014/main" id="{F11F6C4F-EC16-3FBD-26FA-7A11B55CE15C}"/>
              </a:ext>
            </a:extLst>
          </xdr:cNvPr>
          <xdr:cNvSpPr txBox="1"/>
        </xdr:nvSpPr>
        <xdr:spPr>
          <a:xfrm>
            <a:off x="20199263" y="6587517"/>
            <a:ext cx="9451198" cy="3290456"/>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u="sng">
                <a:solidFill>
                  <a:schemeClr val="bg1"/>
                </a:solidFill>
              </a:rPr>
              <a:t>This part of the document is tables made to update</a:t>
            </a:r>
            <a:r>
              <a:rPr lang="en-US" sz="1600" u="sng" baseline="0">
                <a:solidFill>
                  <a:schemeClr val="bg1"/>
                </a:solidFill>
              </a:rPr>
              <a:t> the "Overall results", this part of document is not part of the analysis and should not be edited as it is updates by itself. </a:t>
            </a:r>
            <a:endParaRPr lang="en-US" sz="1600" u="sng">
              <a:solidFill>
                <a:schemeClr val="bg1"/>
              </a:solidFill>
            </a:endParaRPr>
          </a:p>
        </xdr:txBody>
      </xdr:sp>
    </xdr:grpSp>
    <xdr:clientData/>
  </xdr:twoCellAnchor>
  <xdr:twoCellAnchor>
    <xdr:from>
      <xdr:col>1</xdr:col>
      <xdr:colOff>3116179</xdr:colOff>
      <xdr:row>85</xdr:row>
      <xdr:rowOff>113039</xdr:rowOff>
    </xdr:from>
    <xdr:to>
      <xdr:col>1</xdr:col>
      <xdr:colOff>11948624</xdr:colOff>
      <xdr:row>88</xdr:row>
      <xdr:rowOff>109316</xdr:rowOff>
    </xdr:to>
    <xdr:sp macro="" textlink="">
      <xdr:nvSpPr>
        <xdr:cNvPr id="24" name="TextBox 23">
          <a:extLst>
            <a:ext uri="{FF2B5EF4-FFF2-40B4-BE49-F238E27FC236}">
              <a16:creationId xmlns:a16="http://schemas.microsoft.com/office/drawing/2014/main" id="{0248A7D8-8143-4537-AF8E-13973D1E9333}"/>
            </a:ext>
          </a:extLst>
        </xdr:cNvPr>
        <xdr:cNvSpPr txBox="1"/>
      </xdr:nvSpPr>
      <xdr:spPr>
        <a:xfrm>
          <a:off x="5597692" y="18423598"/>
          <a:ext cx="8832445" cy="560257"/>
        </a:xfrm>
        <a:prstGeom prst="rect">
          <a:avLst/>
        </a:prstGeom>
        <a:solidFill>
          <a:srgbClr val="00DEC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Do not touch</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2.xml><?xml version="1.0" encoding="utf-8"?>
<xdr:wsDr xmlns:xdr="http://schemas.openxmlformats.org/drawingml/2006/spreadsheetDrawing" xmlns:a="http://schemas.openxmlformats.org/drawingml/2006/main">
  <xdr:twoCellAnchor>
    <xdr:from>
      <xdr:col>5</xdr:col>
      <xdr:colOff>2936644</xdr:colOff>
      <xdr:row>6</xdr:row>
      <xdr:rowOff>100098</xdr:rowOff>
    </xdr:from>
    <xdr:to>
      <xdr:col>5</xdr:col>
      <xdr:colOff>4632960</xdr:colOff>
      <xdr:row>9</xdr:row>
      <xdr:rowOff>154526</xdr:rowOff>
    </xdr:to>
    <xdr:sp macro="[0]!update" textlink="">
      <xdr:nvSpPr>
        <xdr:cNvPr id="13" name="Rectangle: Rounded Corners 12">
          <a:extLst>
            <a:ext uri="{FF2B5EF4-FFF2-40B4-BE49-F238E27FC236}">
              <a16:creationId xmlns:a16="http://schemas.microsoft.com/office/drawing/2014/main" id="{A5B21C6C-A385-4C94-B874-86EED10AF80D}"/>
            </a:ext>
          </a:extLst>
        </xdr:cNvPr>
        <xdr:cNvSpPr/>
      </xdr:nvSpPr>
      <xdr:spPr>
        <a:xfrm>
          <a:off x="13360804" y="3483378"/>
          <a:ext cx="1696316" cy="603068"/>
        </a:xfrm>
        <a:prstGeom prst="round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Update </a:t>
          </a:r>
        </a:p>
      </xdr:txBody>
    </xdr:sp>
    <xdr:clientData/>
  </xdr:twoCellAnchor>
  <xdr:twoCellAnchor>
    <xdr:from>
      <xdr:col>0</xdr:col>
      <xdr:colOff>40821</xdr:colOff>
      <xdr:row>0</xdr:row>
      <xdr:rowOff>40821</xdr:rowOff>
    </xdr:from>
    <xdr:to>
      <xdr:col>1</xdr:col>
      <xdr:colOff>2190750</xdr:colOff>
      <xdr:row>1</xdr:row>
      <xdr:rowOff>631467</xdr:rowOff>
    </xdr:to>
    <xdr:sp macro="" textlink="">
      <xdr:nvSpPr>
        <xdr:cNvPr id="14" name="Text Box 9">
          <a:extLst>
            <a:ext uri="{FF2B5EF4-FFF2-40B4-BE49-F238E27FC236}">
              <a16:creationId xmlns:a16="http://schemas.microsoft.com/office/drawing/2014/main" id="{F97D87C9-3A72-4CFD-937C-5C0BCE54CE61}"/>
            </a:ext>
          </a:extLst>
        </xdr:cNvPr>
        <xdr:cNvSpPr txBox="1">
          <a:spLocks noChangeArrowheads="1"/>
        </xdr:cNvSpPr>
      </xdr:nvSpPr>
      <xdr:spPr bwMode="auto">
        <a:xfrm>
          <a:off x="40821" y="40821"/>
          <a:ext cx="2759529" cy="1066896"/>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4</xdr:col>
      <xdr:colOff>337820</xdr:colOff>
      <xdr:row>0</xdr:row>
      <xdr:rowOff>398318</xdr:rowOff>
    </xdr:from>
    <xdr:to>
      <xdr:col>5</xdr:col>
      <xdr:colOff>1478611</xdr:colOff>
      <xdr:row>1</xdr:row>
      <xdr:rowOff>555319</xdr:rowOff>
    </xdr:to>
    <xdr:sp macro="" textlink="">
      <xdr:nvSpPr>
        <xdr:cNvPr id="21" name="Rectangle: Rounded Corners 20">
          <a:hlinkClick xmlns:r="http://schemas.openxmlformats.org/officeDocument/2006/relationships" r:id="rId1"/>
          <a:extLst>
            <a:ext uri="{FF2B5EF4-FFF2-40B4-BE49-F238E27FC236}">
              <a16:creationId xmlns:a16="http://schemas.microsoft.com/office/drawing/2014/main" id="{392ED935-8183-4025-8E42-8F902C4F6956}"/>
            </a:ext>
          </a:extLst>
        </xdr:cNvPr>
        <xdr:cNvSpPr/>
      </xdr:nvSpPr>
      <xdr:spPr>
        <a:xfrm>
          <a:off x="4684684" y="398318"/>
          <a:ext cx="2439654" cy="641910"/>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5</xdr:col>
      <xdr:colOff>1540210</xdr:colOff>
      <xdr:row>0</xdr:row>
      <xdr:rowOff>401493</xdr:rowOff>
    </xdr:from>
    <xdr:to>
      <xdr:col>5</xdr:col>
      <xdr:colOff>3845720</xdr:colOff>
      <xdr:row>1</xdr:row>
      <xdr:rowOff>550677</xdr:rowOff>
    </xdr:to>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1F8A6D6C-FDE1-4266-99B6-62B09C2B6C3A}"/>
            </a:ext>
          </a:extLst>
        </xdr:cNvPr>
        <xdr:cNvSpPr/>
      </xdr:nvSpPr>
      <xdr:spPr>
        <a:xfrm>
          <a:off x="7185937" y="401493"/>
          <a:ext cx="2305510"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5</xdr:col>
      <xdr:colOff>4037905</xdr:colOff>
      <xdr:row>0</xdr:row>
      <xdr:rowOff>401493</xdr:rowOff>
    </xdr:from>
    <xdr:to>
      <xdr:col>6</xdr:col>
      <xdr:colOff>3349035</xdr:colOff>
      <xdr:row>1</xdr:row>
      <xdr:rowOff>550677</xdr:rowOff>
    </xdr:to>
    <xdr:sp macro="" textlink="">
      <xdr:nvSpPr>
        <xdr:cNvPr id="23" name="Rectangle: Rounded Corners 22">
          <a:hlinkClick xmlns:r="http://schemas.openxmlformats.org/officeDocument/2006/relationships" r:id="rId3"/>
          <a:extLst>
            <a:ext uri="{FF2B5EF4-FFF2-40B4-BE49-F238E27FC236}">
              <a16:creationId xmlns:a16="http://schemas.microsoft.com/office/drawing/2014/main" id="{C4599F6E-241C-418D-92B8-9C9600FD6076}"/>
            </a:ext>
          </a:extLst>
        </xdr:cNvPr>
        <xdr:cNvSpPr/>
      </xdr:nvSpPr>
      <xdr:spPr>
        <a:xfrm>
          <a:off x="9683632" y="401493"/>
          <a:ext cx="4281448"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6</xdr:col>
      <xdr:colOff>3573878</xdr:colOff>
      <xdr:row>0</xdr:row>
      <xdr:rowOff>401493</xdr:rowOff>
    </xdr:from>
    <xdr:to>
      <xdr:col>7</xdr:col>
      <xdr:colOff>2776022</xdr:colOff>
      <xdr:row>1</xdr:row>
      <xdr:rowOff>550677</xdr:rowOff>
    </xdr:to>
    <xdr:sp macro="" textlink="">
      <xdr:nvSpPr>
        <xdr:cNvPr id="24" name="Rectangle: Rounded Corners 23">
          <a:hlinkClick xmlns:r="http://schemas.openxmlformats.org/officeDocument/2006/relationships" r:id="rId4"/>
          <a:extLst>
            <a:ext uri="{FF2B5EF4-FFF2-40B4-BE49-F238E27FC236}">
              <a16:creationId xmlns:a16="http://schemas.microsoft.com/office/drawing/2014/main" id="{07C78E5E-1EA7-4B7F-891D-736406F15F04}"/>
            </a:ext>
          </a:extLst>
        </xdr:cNvPr>
        <xdr:cNvSpPr/>
      </xdr:nvSpPr>
      <xdr:spPr>
        <a:xfrm>
          <a:off x="14189923" y="401493"/>
          <a:ext cx="3150690"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7</xdr:col>
      <xdr:colOff>3000865</xdr:colOff>
      <xdr:row>0</xdr:row>
      <xdr:rowOff>401493</xdr:rowOff>
    </xdr:from>
    <xdr:to>
      <xdr:col>8</xdr:col>
      <xdr:colOff>1212969</xdr:colOff>
      <xdr:row>1</xdr:row>
      <xdr:rowOff>550677</xdr:rowOff>
    </xdr:to>
    <xdr:sp macro="" textlink="">
      <xdr:nvSpPr>
        <xdr:cNvPr id="25" name="Rectangle: Rounded Corners 24">
          <a:hlinkClick xmlns:r="http://schemas.openxmlformats.org/officeDocument/2006/relationships" r:id="rId5"/>
          <a:extLst>
            <a:ext uri="{FF2B5EF4-FFF2-40B4-BE49-F238E27FC236}">
              <a16:creationId xmlns:a16="http://schemas.microsoft.com/office/drawing/2014/main" id="{9AA34160-9885-465E-B68E-89ADD33BC965}"/>
            </a:ext>
          </a:extLst>
        </xdr:cNvPr>
        <xdr:cNvSpPr/>
      </xdr:nvSpPr>
      <xdr:spPr>
        <a:xfrm>
          <a:off x="17565456" y="401493"/>
          <a:ext cx="2264558"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8</xdr:col>
      <xdr:colOff>1328952</xdr:colOff>
      <xdr:row>0</xdr:row>
      <xdr:rowOff>401493</xdr:rowOff>
    </xdr:from>
    <xdr:to>
      <xdr:col>9</xdr:col>
      <xdr:colOff>1085225</xdr:colOff>
      <xdr:row>1</xdr:row>
      <xdr:rowOff>550677</xdr:rowOff>
    </xdr:to>
    <xdr:sp macro="" textlink="">
      <xdr:nvSpPr>
        <xdr:cNvPr id="26" name="Rectangle: Rounded Corners 25">
          <a:hlinkClick xmlns:r="http://schemas.openxmlformats.org/officeDocument/2006/relationships" r:id="rId6"/>
          <a:extLst>
            <a:ext uri="{FF2B5EF4-FFF2-40B4-BE49-F238E27FC236}">
              <a16:creationId xmlns:a16="http://schemas.microsoft.com/office/drawing/2014/main" id="{DC5D5063-481B-4B92-921C-F657C779967D}"/>
            </a:ext>
          </a:extLst>
        </xdr:cNvPr>
        <xdr:cNvSpPr/>
      </xdr:nvSpPr>
      <xdr:spPr>
        <a:xfrm>
          <a:off x="19945997" y="401493"/>
          <a:ext cx="2336683"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2</xdr:col>
      <xdr:colOff>692727</xdr:colOff>
      <xdr:row>0</xdr:row>
      <xdr:rowOff>401493</xdr:rowOff>
    </xdr:from>
    <xdr:to>
      <xdr:col>4</xdr:col>
      <xdr:colOff>170882</xdr:colOff>
      <xdr:row>1</xdr:row>
      <xdr:rowOff>555319</xdr:rowOff>
    </xdr:to>
    <xdr:sp macro="" textlink="">
      <xdr:nvSpPr>
        <xdr:cNvPr id="27" name="Rectangle: Rounded Corners 26">
          <a:hlinkClick xmlns:r="http://schemas.openxmlformats.org/officeDocument/2006/relationships" r:id="rId7"/>
          <a:extLst>
            <a:ext uri="{FF2B5EF4-FFF2-40B4-BE49-F238E27FC236}">
              <a16:creationId xmlns:a16="http://schemas.microsoft.com/office/drawing/2014/main" id="{A915CF38-60F5-4835-BF13-54D1331D3DA5}"/>
            </a:ext>
          </a:extLst>
        </xdr:cNvPr>
        <xdr:cNvSpPr/>
      </xdr:nvSpPr>
      <xdr:spPr>
        <a:xfrm>
          <a:off x="2389909" y="401493"/>
          <a:ext cx="2127837" cy="638735"/>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Introduction</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3.xml><?xml version="1.0" encoding="utf-8"?>
<xdr:wsDr xmlns:xdr="http://schemas.openxmlformats.org/drawingml/2006/spreadsheetDrawing" xmlns:a="http://schemas.openxmlformats.org/drawingml/2006/main">
  <xdr:twoCellAnchor>
    <xdr:from>
      <xdr:col>2</xdr:col>
      <xdr:colOff>3759224</xdr:colOff>
      <xdr:row>0</xdr:row>
      <xdr:rowOff>198531</xdr:rowOff>
    </xdr:from>
    <xdr:to>
      <xdr:col>2</xdr:col>
      <xdr:colOff>6217928</xdr:colOff>
      <xdr:row>0</xdr:row>
      <xdr:rowOff>840441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B7E904A-4666-465A-94C0-6AA14969D999}"/>
            </a:ext>
          </a:extLst>
        </xdr:cNvPr>
        <xdr:cNvSpPr/>
      </xdr:nvSpPr>
      <xdr:spPr>
        <a:xfrm>
          <a:off x="5021967" y="198531"/>
          <a:ext cx="2458704" cy="641910"/>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3</xdr:col>
      <xdr:colOff>60568</xdr:colOff>
      <xdr:row>0</xdr:row>
      <xdr:rowOff>201706</xdr:rowOff>
    </xdr:from>
    <xdr:to>
      <xdr:col>4</xdr:col>
      <xdr:colOff>45441</xdr:colOff>
      <xdr:row>0</xdr:row>
      <xdr:rowOff>835799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71FD3C2E-D379-4B9B-B853-52293CB47D82}"/>
            </a:ext>
          </a:extLst>
        </xdr:cNvPr>
        <xdr:cNvSpPr/>
      </xdr:nvSpPr>
      <xdr:spPr>
        <a:xfrm>
          <a:off x="7702339" y="201706"/>
          <a:ext cx="2357959"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4</xdr:col>
      <xdr:colOff>237626</xdr:colOff>
      <xdr:row>0</xdr:row>
      <xdr:rowOff>201706</xdr:rowOff>
    </xdr:from>
    <xdr:to>
      <xdr:col>6</xdr:col>
      <xdr:colOff>1090074</xdr:colOff>
      <xdr:row>0</xdr:row>
      <xdr:rowOff>835799</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34895D33-5AA3-433B-A612-9968F4D2DEB8}"/>
            </a:ext>
          </a:extLst>
        </xdr:cNvPr>
        <xdr:cNvSpPr/>
      </xdr:nvSpPr>
      <xdr:spPr>
        <a:xfrm>
          <a:off x="10252483" y="201706"/>
          <a:ext cx="4379420"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6</xdr:col>
      <xdr:colOff>1314917</xdr:colOff>
      <xdr:row>0</xdr:row>
      <xdr:rowOff>201706</xdr:rowOff>
    </xdr:from>
    <xdr:to>
      <xdr:col>7</xdr:col>
      <xdr:colOff>2993562</xdr:colOff>
      <xdr:row>0</xdr:row>
      <xdr:rowOff>835799</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9453747D-2998-4EB2-9038-734A41F1E85F}"/>
            </a:ext>
          </a:extLst>
        </xdr:cNvPr>
        <xdr:cNvSpPr/>
      </xdr:nvSpPr>
      <xdr:spPr>
        <a:xfrm>
          <a:off x="14856746" y="201706"/>
          <a:ext cx="3191759"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7</xdr:col>
      <xdr:colOff>3218405</xdr:colOff>
      <xdr:row>0</xdr:row>
      <xdr:rowOff>201706</xdr:rowOff>
    </xdr:from>
    <xdr:to>
      <xdr:col>9</xdr:col>
      <xdr:colOff>287508</xdr:colOff>
      <xdr:row>0</xdr:row>
      <xdr:rowOff>835799</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01CC9ED2-01D5-466A-96EE-5617CB9CF2C1}"/>
            </a:ext>
          </a:extLst>
        </xdr:cNvPr>
        <xdr:cNvSpPr/>
      </xdr:nvSpPr>
      <xdr:spPr>
        <a:xfrm>
          <a:off x="18273348" y="201706"/>
          <a:ext cx="2424874"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9</xdr:col>
      <xdr:colOff>403491</xdr:colOff>
      <xdr:row>0</xdr:row>
      <xdr:rowOff>201706</xdr:rowOff>
    </xdr:from>
    <xdr:to>
      <xdr:col>11</xdr:col>
      <xdr:colOff>750315</xdr:colOff>
      <xdr:row>0</xdr:row>
      <xdr:rowOff>835799</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0117CC12-3453-4EA6-92BA-87E0C655A85C}"/>
            </a:ext>
          </a:extLst>
        </xdr:cNvPr>
        <xdr:cNvSpPr/>
      </xdr:nvSpPr>
      <xdr:spPr>
        <a:xfrm>
          <a:off x="20814205" y="201706"/>
          <a:ext cx="2415110" cy="634093"/>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0</xdr:col>
      <xdr:colOff>27214</xdr:colOff>
      <xdr:row>0</xdr:row>
      <xdr:rowOff>95250</xdr:rowOff>
    </xdr:from>
    <xdr:to>
      <xdr:col>2</xdr:col>
      <xdr:colOff>1266371</xdr:colOff>
      <xdr:row>2</xdr:row>
      <xdr:rowOff>123055</xdr:rowOff>
    </xdr:to>
    <xdr:sp macro="" textlink="">
      <xdr:nvSpPr>
        <xdr:cNvPr id="8" name="Text Box 9">
          <a:extLst>
            <a:ext uri="{FF2B5EF4-FFF2-40B4-BE49-F238E27FC236}">
              <a16:creationId xmlns:a16="http://schemas.microsoft.com/office/drawing/2014/main" id="{4AF24FC5-A3D6-48C3-9912-8B4713F943B9}"/>
            </a:ext>
          </a:extLst>
        </xdr:cNvPr>
        <xdr:cNvSpPr txBox="1">
          <a:spLocks noChangeArrowheads="1"/>
        </xdr:cNvSpPr>
      </xdr:nvSpPr>
      <xdr:spPr bwMode="auto">
        <a:xfrm>
          <a:off x="27214" y="95250"/>
          <a:ext cx="2463800" cy="1075555"/>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2</xdr:col>
      <xdr:colOff>1464449</xdr:colOff>
      <xdr:row>0</xdr:row>
      <xdr:rowOff>201706</xdr:rowOff>
    </xdr:from>
    <xdr:to>
      <xdr:col>2</xdr:col>
      <xdr:colOff>3592286</xdr:colOff>
      <xdr:row>0</xdr:row>
      <xdr:rowOff>840441</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558CD3B3-CD6F-486D-BC6E-955D7795FDF9}"/>
            </a:ext>
          </a:extLst>
        </xdr:cNvPr>
        <xdr:cNvSpPr/>
      </xdr:nvSpPr>
      <xdr:spPr>
        <a:xfrm>
          <a:off x="2727192" y="201706"/>
          <a:ext cx="2127837" cy="638735"/>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Introduction</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4.xml><?xml version="1.0" encoding="utf-8"?>
<xdr:wsDr xmlns:xdr="http://schemas.openxmlformats.org/drawingml/2006/spreadsheetDrawing" xmlns:a="http://schemas.openxmlformats.org/drawingml/2006/main">
  <xdr:twoCellAnchor>
    <xdr:from>
      <xdr:col>2</xdr:col>
      <xdr:colOff>4178858</xdr:colOff>
      <xdr:row>0</xdr:row>
      <xdr:rowOff>190500</xdr:rowOff>
    </xdr:from>
    <xdr:to>
      <xdr:col>4</xdr:col>
      <xdr:colOff>853067</xdr:colOff>
      <xdr:row>0</xdr:row>
      <xdr:rowOff>869674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189F1AA-6F65-4424-88AE-02B78558E4E4}"/>
            </a:ext>
          </a:extLst>
        </xdr:cNvPr>
        <xdr:cNvSpPr/>
      </xdr:nvSpPr>
      <xdr:spPr>
        <a:xfrm>
          <a:off x="6520276" y="190500"/>
          <a:ext cx="6386246" cy="67917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4</xdr:col>
      <xdr:colOff>1269093</xdr:colOff>
      <xdr:row>0</xdr:row>
      <xdr:rowOff>190500</xdr:rowOff>
    </xdr:from>
    <xdr:to>
      <xdr:col>5</xdr:col>
      <xdr:colOff>1615458</xdr:colOff>
      <xdr:row>0</xdr:row>
      <xdr:rowOff>859970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B5A1323F-8E2D-40DB-9C3D-94552E57B10A}"/>
            </a:ext>
          </a:extLst>
        </xdr:cNvPr>
        <xdr:cNvSpPr/>
      </xdr:nvSpPr>
      <xdr:spPr>
        <a:xfrm>
          <a:off x="13322548" y="190500"/>
          <a:ext cx="2147455" cy="669470"/>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5</xdr:col>
      <xdr:colOff>2031484</xdr:colOff>
      <xdr:row>0</xdr:row>
      <xdr:rowOff>190500</xdr:rowOff>
    </xdr:from>
    <xdr:to>
      <xdr:col>5</xdr:col>
      <xdr:colOff>4359050</xdr:colOff>
      <xdr:row>0</xdr:row>
      <xdr:rowOff>859970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72DB6D73-DD97-4B9B-A65B-A0D75C13B01D}"/>
            </a:ext>
          </a:extLst>
        </xdr:cNvPr>
        <xdr:cNvSpPr/>
      </xdr:nvSpPr>
      <xdr:spPr>
        <a:xfrm>
          <a:off x="15886029" y="190500"/>
          <a:ext cx="2327566" cy="669470"/>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5</xdr:col>
      <xdr:colOff>4775076</xdr:colOff>
      <xdr:row>0</xdr:row>
      <xdr:rowOff>190500</xdr:rowOff>
    </xdr:from>
    <xdr:to>
      <xdr:col>6</xdr:col>
      <xdr:colOff>1048700</xdr:colOff>
      <xdr:row>0</xdr:row>
      <xdr:rowOff>859970</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43A6896D-1C72-4D50-9213-5C25B459F1D1}"/>
            </a:ext>
          </a:extLst>
        </xdr:cNvPr>
        <xdr:cNvSpPr/>
      </xdr:nvSpPr>
      <xdr:spPr>
        <a:xfrm>
          <a:off x="18629621" y="190500"/>
          <a:ext cx="5376061" cy="669470"/>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6</xdr:col>
      <xdr:colOff>1464726</xdr:colOff>
      <xdr:row>0</xdr:row>
      <xdr:rowOff>190500</xdr:rowOff>
    </xdr:from>
    <xdr:to>
      <xdr:col>7</xdr:col>
      <xdr:colOff>1415990</xdr:colOff>
      <xdr:row>0</xdr:row>
      <xdr:rowOff>859970</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7B0037A9-F090-43E7-A98A-24874FD79C39}"/>
            </a:ext>
          </a:extLst>
        </xdr:cNvPr>
        <xdr:cNvSpPr/>
      </xdr:nvSpPr>
      <xdr:spPr>
        <a:xfrm>
          <a:off x="24421708" y="190500"/>
          <a:ext cx="2971555" cy="669470"/>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7</xdr:col>
      <xdr:colOff>1832017</xdr:colOff>
      <xdr:row>0</xdr:row>
      <xdr:rowOff>190500</xdr:rowOff>
    </xdr:from>
    <xdr:to>
      <xdr:col>9</xdr:col>
      <xdr:colOff>729346</xdr:colOff>
      <xdr:row>0</xdr:row>
      <xdr:rowOff>859970</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D091BA92-40BC-4A53-9CCE-F426D20E4147}"/>
            </a:ext>
          </a:extLst>
        </xdr:cNvPr>
        <xdr:cNvSpPr/>
      </xdr:nvSpPr>
      <xdr:spPr>
        <a:xfrm>
          <a:off x="22655399" y="190500"/>
          <a:ext cx="2444092" cy="669470"/>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0</xdr:col>
      <xdr:colOff>0</xdr:colOff>
      <xdr:row>0</xdr:row>
      <xdr:rowOff>0</xdr:rowOff>
    </xdr:from>
    <xdr:to>
      <xdr:col>2</xdr:col>
      <xdr:colOff>191407</xdr:colOff>
      <xdr:row>2</xdr:row>
      <xdr:rowOff>272734</xdr:rowOff>
    </xdr:to>
    <xdr:sp macro="" textlink="">
      <xdr:nvSpPr>
        <xdr:cNvPr id="8" name="Text Box 9">
          <a:extLst>
            <a:ext uri="{FF2B5EF4-FFF2-40B4-BE49-F238E27FC236}">
              <a16:creationId xmlns:a16="http://schemas.microsoft.com/office/drawing/2014/main" id="{D6E1E2CB-C83E-4420-882A-A545CA44DE49}"/>
            </a:ext>
          </a:extLst>
        </xdr:cNvPr>
        <xdr:cNvSpPr txBox="1">
          <a:spLocks noChangeArrowheads="1"/>
        </xdr:cNvSpPr>
      </xdr:nvSpPr>
      <xdr:spPr bwMode="auto">
        <a:xfrm>
          <a:off x="0" y="0"/>
          <a:ext cx="2463800" cy="1075555"/>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2</xdr:col>
      <xdr:colOff>1246908</xdr:colOff>
      <xdr:row>0</xdr:row>
      <xdr:rowOff>190500</xdr:rowOff>
    </xdr:from>
    <xdr:to>
      <xdr:col>2</xdr:col>
      <xdr:colOff>3762832</xdr:colOff>
      <xdr:row>0</xdr:row>
      <xdr:rowOff>865909</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B3BD5E1A-3C51-4202-A5F5-9CC515296A20}"/>
            </a:ext>
          </a:extLst>
        </xdr:cNvPr>
        <xdr:cNvSpPr/>
      </xdr:nvSpPr>
      <xdr:spPr>
        <a:xfrm>
          <a:off x="3588326" y="190500"/>
          <a:ext cx="2515924" cy="675409"/>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Introduction</a:t>
          </a:r>
        </a:p>
      </xdr:txBody>
    </xdr:sp>
    <xdr:clientData/>
  </xdr:twoCellAnchor>
  <xdr:twoCellAnchor>
    <xdr:from>
      <xdr:col>2</xdr:col>
      <xdr:colOff>1264666</xdr:colOff>
      <xdr:row>0</xdr:row>
      <xdr:rowOff>1277016</xdr:rowOff>
    </xdr:from>
    <xdr:to>
      <xdr:col>5</xdr:col>
      <xdr:colOff>762000</xdr:colOff>
      <xdr:row>1</xdr:row>
      <xdr:rowOff>4970318</xdr:rowOff>
    </xdr:to>
    <xdr:sp macro="" textlink="">
      <xdr:nvSpPr>
        <xdr:cNvPr id="10" name="TextBox 9">
          <a:extLst>
            <a:ext uri="{FF2B5EF4-FFF2-40B4-BE49-F238E27FC236}">
              <a16:creationId xmlns:a16="http://schemas.microsoft.com/office/drawing/2014/main" id="{6808150F-9F92-44E5-93A1-1B68C5B571A6}"/>
            </a:ext>
          </a:extLst>
        </xdr:cNvPr>
        <xdr:cNvSpPr txBox="1"/>
      </xdr:nvSpPr>
      <xdr:spPr>
        <a:xfrm>
          <a:off x="3533348" y="1277016"/>
          <a:ext cx="10702197" cy="5113393"/>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latin typeface="+mn-lt"/>
            </a:rPr>
            <a:t>ICT risk management</a:t>
          </a:r>
        </a:p>
        <a:p>
          <a:r>
            <a:rPr lang="en-US" sz="1600" b="0">
              <a:solidFill>
                <a:schemeClr val="bg1"/>
              </a:solidFill>
              <a:latin typeface="+mn-lt"/>
            </a:rPr>
            <a:t>- The internal governance and control framework that ensures an effective and prudent management of ICT risks.</a:t>
          </a:r>
        </a:p>
        <a:p>
          <a:r>
            <a:rPr lang="en-US" sz="1600" b="0">
              <a:solidFill>
                <a:schemeClr val="bg1"/>
              </a:solidFill>
              <a:latin typeface="+mn-lt"/>
            </a:rPr>
            <a:t>- The sound, comprehensive and well-documented ICT risk management framework, as part of the overall risk management system.</a:t>
          </a:r>
        </a:p>
        <a:p>
          <a:r>
            <a:rPr lang="en-US" sz="1600" b="0">
              <a:solidFill>
                <a:schemeClr val="bg1"/>
              </a:solidFill>
              <a:latin typeface="+mn-lt"/>
            </a:rPr>
            <a:t>- ICT systems, protocols and tools.</a:t>
          </a:r>
        </a:p>
        <a:p>
          <a:r>
            <a:rPr lang="en-US" sz="1600" b="0">
              <a:solidFill>
                <a:schemeClr val="bg1"/>
              </a:solidFill>
              <a:latin typeface="+mn-lt"/>
            </a:rPr>
            <a:t>- The need to identify, classify and adequately document all ICT supported business functions, roles and responsibilities, the information assets and ICT assets supporting those functions, and their roles and dependencies in relation to ICT risk.</a:t>
          </a:r>
        </a:p>
        <a:p>
          <a:r>
            <a:rPr lang="en-US" sz="1600" b="0">
              <a:solidFill>
                <a:schemeClr val="bg1"/>
              </a:solidFill>
              <a:latin typeface="+mn-lt"/>
            </a:rPr>
            <a:t>- The need to continuously monitor and control the security and functioning of ICT systems and tools, to minimise the impact of ICT risk on ICT systems through the deployment of appropriate ICT security tools, policies and procedures.</a:t>
          </a:r>
        </a:p>
        <a:p>
          <a:r>
            <a:rPr lang="en-US" sz="1600" b="0">
              <a:solidFill>
                <a:schemeClr val="bg1"/>
              </a:solidFill>
              <a:latin typeface="+mn-lt"/>
            </a:rPr>
            <a:t>- The need for mechanisms to promptly detect anomalous activities.</a:t>
          </a:r>
        </a:p>
        <a:p>
          <a:r>
            <a:rPr lang="en-US" sz="1600" b="0">
              <a:solidFill>
                <a:schemeClr val="bg1"/>
              </a:solidFill>
              <a:latin typeface="+mn-lt"/>
            </a:rPr>
            <a:t>- The need fpr response and recovery, and a comprehensive ICT business continuity policy.</a:t>
          </a:r>
        </a:p>
        <a:p>
          <a:r>
            <a:rPr lang="en-US" sz="1600" b="0">
              <a:solidFill>
                <a:schemeClr val="bg1"/>
              </a:solidFill>
              <a:latin typeface="+mn-lt"/>
            </a:rPr>
            <a:t>- Ensuring the restoration of ICT systems and data with minimum downtime, limited disruption and loss.</a:t>
          </a:r>
        </a:p>
        <a:p>
          <a:r>
            <a:rPr lang="en-US" sz="1600" b="0">
              <a:solidFill>
                <a:schemeClr val="bg1"/>
              </a:solidFill>
              <a:latin typeface="+mn-lt"/>
            </a:rPr>
            <a:t>- Learning and evolving, gathering information on vulnerabilities and cyber threats.</a:t>
          </a:r>
        </a:p>
        <a:p>
          <a:r>
            <a:rPr lang="en-US" sz="1600" b="0">
              <a:solidFill>
                <a:schemeClr val="bg1"/>
              </a:solidFill>
              <a:latin typeface="+mn-lt"/>
            </a:rPr>
            <a:t>- Communication, crisis communication plans enabling a responsible disclosure of, at least, major ICT-related incidents or vulnerabilities to clients and counterparts as well as to the public.</a:t>
          </a:r>
        </a:p>
        <a:p>
          <a:endParaRPr lang="en-US" sz="1600" b="1">
            <a:solidFill>
              <a:schemeClr val="bg1"/>
            </a:solidFill>
          </a:endParaRPr>
        </a:p>
      </xdr:txBody>
    </xdr:sp>
    <xdr:clientData/>
  </xdr:twoCellAnchor>
  <xdr:twoCellAnchor>
    <xdr:from>
      <xdr:col>5</xdr:col>
      <xdr:colOff>1108364</xdr:colOff>
      <xdr:row>0</xdr:row>
      <xdr:rowOff>1281545</xdr:rowOff>
    </xdr:from>
    <xdr:to>
      <xdr:col>7</xdr:col>
      <xdr:colOff>1939636</xdr:colOff>
      <xdr:row>1</xdr:row>
      <xdr:rowOff>4901045</xdr:rowOff>
    </xdr:to>
    <xdr:sp macro="" textlink="">
      <xdr:nvSpPr>
        <xdr:cNvPr id="11" name="TextBox 10">
          <a:extLst>
            <a:ext uri="{FF2B5EF4-FFF2-40B4-BE49-F238E27FC236}">
              <a16:creationId xmlns:a16="http://schemas.microsoft.com/office/drawing/2014/main" id="{29471B0D-B262-4D81-A033-063BF4C2E185}"/>
            </a:ext>
          </a:extLst>
        </xdr:cNvPr>
        <xdr:cNvSpPr txBox="1"/>
      </xdr:nvSpPr>
      <xdr:spPr>
        <a:xfrm>
          <a:off x="14581909" y="1281545"/>
          <a:ext cx="12607636" cy="5039591"/>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5.xml><?xml version="1.0" encoding="utf-8"?>
<xdr:wsDr xmlns:xdr="http://schemas.openxmlformats.org/drawingml/2006/spreadsheetDrawing" xmlns:a="http://schemas.openxmlformats.org/drawingml/2006/main">
  <xdr:twoCellAnchor>
    <xdr:from>
      <xdr:col>2</xdr:col>
      <xdr:colOff>2327097</xdr:colOff>
      <xdr:row>0</xdr:row>
      <xdr:rowOff>142112</xdr:rowOff>
    </xdr:from>
    <xdr:to>
      <xdr:col>2</xdr:col>
      <xdr:colOff>4469182</xdr:colOff>
      <xdr:row>0</xdr:row>
      <xdr:rowOff>666976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085F237-931A-42E5-8B47-82BB025529A5}"/>
            </a:ext>
          </a:extLst>
        </xdr:cNvPr>
        <xdr:cNvSpPr/>
      </xdr:nvSpPr>
      <xdr:spPr>
        <a:xfrm>
          <a:off x="7425570" y="142112"/>
          <a:ext cx="2142085"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2</xdr:col>
      <xdr:colOff>4678673</xdr:colOff>
      <xdr:row>0</xdr:row>
      <xdr:rowOff>142112</xdr:rowOff>
    </xdr:from>
    <xdr:to>
      <xdr:col>4</xdr:col>
      <xdr:colOff>1002373</xdr:colOff>
      <xdr:row>0</xdr:row>
      <xdr:rowOff>666976</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1602EB1E-7967-4FF3-A16D-C84B5EC8AD25}"/>
            </a:ext>
          </a:extLst>
        </xdr:cNvPr>
        <xdr:cNvSpPr/>
      </xdr:nvSpPr>
      <xdr:spPr>
        <a:xfrm>
          <a:off x="9777146" y="142112"/>
          <a:ext cx="7504318"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4</xdr:col>
      <xdr:colOff>1211864</xdr:colOff>
      <xdr:row>0</xdr:row>
      <xdr:rowOff>142112</xdr:rowOff>
    </xdr:from>
    <xdr:to>
      <xdr:col>5</xdr:col>
      <xdr:colOff>2232562</xdr:colOff>
      <xdr:row>0</xdr:row>
      <xdr:rowOff>666976</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56DEF928-817D-452D-B06E-153B0857448B}"/>
            </a:ext>
          </a:extLst>
        </xdr:cNvPr>
        <xdr:cNvSpPr/>
      </xdr:nvSpPr>
      <xdr:spPr>
        <a:xfrm>
          <a:off x="17490955" y="142112"/>
          <a:ext cx="236458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5</xdr:col>
      <xdr:colOff>2442053</xdr:colOff>
      <xdr:row>0</xdr:row>
      <xdr:rowOff>142112</xdr:rowOff>
    </xdr:from>
    <xdr:to>
      <xdr:col>5</xdr:col>
      <xdr:colOff>6263261</xdr:colOff>
      <xdr:row>0</xdr:row>
      <xdr:rowOff>666976</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E90474AD-A2D5-4368-9EAC-ECAE7DCF24EB}"/>
            </a:ext>
          </a:extLst>
        </xdr:cNvPr>
        <xdr:cNvSpPr/>
      </xdr:nvSpPr>
      <xdr:spPr>
        <a:xfrm>
          <a:off x="20065035" y="142112"/>
          <a:ext cx="3821208"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5</xdr:col>
      <xdr:colOff>6472752</xdr:colOff>
      <xdr:row>0</xdr:row>
      <xdr:rowOff>142112</xdr:rowOff>
    </xdr:from>
    <xdr:to>
      <xdr:col>6</xdr:col>
      <xdr:colOff>1157679</xdr:colOff>
      <xdr:row>0</xdr:row>
      <xdr:rowOff>666976</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DA5FF50C-F00C-40A5-9481-61FB20006FB2}"/>
            </a:ext>
          </a:extLst>
        </xdr:cNvPr>
        <xdr:cNvSpPr/>
      </xdr:nvSpPr>
      <xdr:spPr>
        <a:xfrm>
          <a:off x="24095734" y="142112"/>
          <a:ext cx="3053072"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6</xdr:col>
      <xdr:colOff>1367171</xdr:colOff>
      <xdr:row>0</xdr:row>
      <xdr:rowOff>142112</xdr:rowOff>
    </xdr:from>
    <xdr:to>
      <xdr:col>7</xdr:col>
      <xdr:colOff>2557362</xdr:colOff>
      <xdr:row>0</xdr:row>
      <xdr:rowOff>666976</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47C7D0B6-9DB1-4286-86AA-FF6BE2EA10BD}"/>
            </a:ext>
          </a:extLst>
        </xdr:cNvPr>
        <xdr:cNvSpPr/>
      </xdr:nvSpPr>
      <xdr:spPr>
        <a:xfrm>
          <a:off x="27358298"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0</xdr:col>
      <xdr:colOff>27214</xdr:colOff>
      <xdr:row>0</xdr:row>
      <xdr:rowOff>0</xdr:rowOff>
    </xdr:from>
    <xdr:to>
      <xdr:col>1</xdr:col>
      <xdr:colOff>1171121</xdr:colOff>
      <xdr:row>3</xdr:row>
      <xdr:rowOff>136662</xdr:rowOff>
    </xdr:to>
    <xdr:sp macro="" textlink="">
      <xdr:nvSpPr>
        <xdr:cNvPr id="8" name="Text Box 9">
          <a:extLst>
            <a:ext uri="{FF2B5EF4-FFF2-40B4-BE49-F238E27FC236}">
              <a16:creationId xmlns:a16="http://schemas.microsoft.com/office/drawing/2014/main" id="{161F8B1C-3B0C-45D9-A6D8-6506B6CE63A0}"/>
            </a:ext>
          </a:extLst>
        </xdr:cNvPr>
        <xdr:cNvSpPr txBox="1">
          <a:spLocks noChangeArrowheads="1"/>
        </xdr:cNvSpPr>
      </xdr:nvSpPr>
      <xdr:spPr bwMode="auto">
        <a:xfrm>
          <a:off x="27214" y="0"/>
          <a:ext cx="2463800" cy="1075555"/>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1</xdr:col>
      <xdr:colOff>3238500</xdr:colOff>
      <xdr:row>0</xdr:row>
      <xdr:rowOff>142112</xdr:rowOff>
    </xdr:from>
    <xdr:to>
      <xdr:col>2</xdr:col>
      <xdr:colOff>2117606</xdr:colOff>
      <xdr:row>0</xdr:row>
      <xdr:rowOff>677244</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AE2512F3-CB61-4CEE-B6A6-FC4820F2CF14}"/>
            </a:ext>
          </a:extLst>
        </xdr:cNvPr>
        <xdr:cNvSpPr/>
      </xdr:nvSpPr>
      <xdr:spPr>
        <a:xfrm>
          <a:off x="4596245" y="142112"/>
          <a:ext cx="2619834" cy="535132"/>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Introduction</a:t>
          </a:r>
        </a:p>
      </xdr:txBody>
    </xdr:sp>
    <xdr:clientData/>
  </xdr:twoCellAnchor>
  <xdr:twoCellAnchor>
    <xdr:from>
      <xdr:col>1</xdr:col>
      <xdr:colOff>3297447</xdr:colOff>
      <xdr:row>1</xdr:row>
      <xdr:rowOff>313887</xdr:rowOff>
    </xdr:from>
    <xdr:to>
      <xdr:col>2</xdr:col>
      <xdr:colOff>9957962</xdr:colOff>
      <xdr:row>2</xdr:row>
      <xdr:rowOff>84199</xdr:rowOff>
    </xdr:to>
    <xdr:sp macro="" textlink="">
      <xdr:nvSpPr>
        <xdr:cNvPr id="10" name="TextBox 9">
          <a:extLst>
            <a:ext uri="{FF2B5EF4-FFF2-40B4-BE49-F238E27FC236}">
              <a16:creationId xmlns:a16="http://schemas.microsoft.com/office/drawing/2014/main" id="{C432E36F-50FC-4F5F-8790-FD80763BD79B}"/>
            </a:ext>
          </a:extLst>
        </xdr:cNvPr>
        <xdr:cNvSpPr txBox="1"/>
      </xdr:nvSpPr>
      <xdr:spPr>
        <a:xfrm>
          <a:off x="4682902" y="1058569"/>
          <a:ext cx="10470515" cy="1640675"/>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 The ICT-related incident management process to detect, manage and notify ICT-related incidents. </a:t>
          </a:r>
          <a:br>
            <a:rPr lang="en-US" sz="1600">
              <a:solidFill>
                <a:schemeClr val="bg1"/>
              </a:solidFill>
            </a:rPr>
          </a:br>
          <a:r>
            <a:rPr lang="en-US" sz="1600">
              <a:solidFill>
                <a:schemeClr val="bg1"/>
              </a:solidFill>
            </a:rPr>
            <a:t>- Classification of ICT-related incidents and cyber threats.</a:t>
          </a:r>
          <a:br>
            <a:rPr lang="en-US" sz="1600">
              <a:solidFill>
                <a:schemeClr val="bg1"/>
              </a:solidFill>
            </a:rPr>
          </a:br>
          <a:r>
            <a:rPr lang="en-US" sz="1600">
              <a:solidFill>
                <a:schemeClr val="bg1"/>
              </a:solidFill>
            </a:rPr>
            <a:t>- Reporting of major ICT-related incidents and voluntary notification of significant cyber threats. </a:t>
          </a:r>
          <a:br>
            <a:rPr lang="en-US" sz="1600">
              <a:solidFill>
                <a:schemeClr val="bg1"/>
              </a:solidFill>
            </a:rPr>
          </a:br>
          <a:r>
            <a:rPr lang="en-US" sz="1600">
              <a:solidFill>
                <a:schemeClr val="bg1"/>
              </a:solidFill>
            </a:rPr>
            <a:t>- Harmonisation of reporting content and templates.</a:t>
          </a:r>
          <a:br>
            <a:rPr lang="en-US" sz="1600">
              <a:solidFill>
                <a:schemeClr val="bg1"/>
              </a:solidFill>
            </a:rPr>
          </a:br>
          <a:r>
            <a:rPr lang="en-US" sz="1600">
              <a:solidFill>
                <a:schemeClr val="bg1"/>
              </a:solidFill>
            </a:rPr>
            <a:t>- Centralisation of reporting of major ICT-related incidents.</a:t>
          </a:r>
        </a:p>
      </xdr:txBody>
    </xdr:sp>
    <xdr:clientData/>
  </xdr:twoCellAnchor>
  <xdr:twoCellAnchor>
    <xdr:from>
      <xdr:col>3</xdr:col>
      <xdr:colOff>346364</xdr:colOff>
      <xdr:row>1</xdr:row>
      <xdr:rowOff>259773</xdr:rowOff>
    </xdr:from>
    <xdr:to>
      <xdr:col>8</xdr:col>
      <xdr:colOff>17318</xdr:colOff>
      <xdr:row>2</xdr:row>
      <xdr:rowOff>1558636</xdr:rowOff>
    </xdr:to>
    <xdr:sp macro="" textlink="">
      <xdr:nvSpPr>
        <xdr:cNvPr id="11" name="TextBox 10">
          <a:extLst>
            <a:ext uri="{FF2B5EF4-FFF2-40B4-BE49-F238E27FC236}">
              <a16:creationId xmlns:a16="http://schemas.microsoft.com/office/drawing/2014/main" id="{9696FB73-BFC6-49CF-A0BC-FD768864646E}"/>
            </a:ext>
          </a:extLst>
        </xdr:cNvPr>
        <xdr:cNvSpPr txBox="1"/>
      </xdr:nvSpPr>
      <xdr:spPr>
        <a:xfrm>
          <a:off x="15084137" y="1004455"/>
          <a:ext cx="15880772" cy="4468090"/>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6.xml><?xml version="1.0" encoding="utf-8"?>
<xdr:wsDr xmlns:xdr="http://schemas.openxmlformats.org/drawingml/2006/spreadsheetDrawing" xmlns:a="http://schemas.openxmlformats.org/drawingml/2006/main">
  <xdr:twoCellAnchor>
    <xdr:from>
      <xdr:col>2</xdr:col>
      <xdr:colOff>1172670</xdr:colOff>
      <xdr:row>0</xdr:row>
      <xdr:rowOff>47501</xdr:rowOff>
    </xdr:from>
    <xdr:to>
      <xdr:col>2</xdr:col>
      <xdr:colOff>3316487</xdr:colOff>
      <xdr:row>4</xdr:row>
      <xdr:rowOff>66554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C188D254-9913-44DC-8142-9D36962DC56A}"/>
            </a:ext>
          </a:extLst>
        </xdr:cNvPr>
        <xdr:cNvSpPr/>
      </xdr:nvSpPr>
      <xdr:spPr>
        <a:xfrm>
          <a:off x="5287470" y="47501"/>
          <a:ext cx="2143817" cy="739489"/>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2</xdr:col>
      <xdr:colOff>3497233</xdr:colOff>
      <xdr:row>0</xdr:row>
      <xdr:rowOff>47501</xdr:rowOff>
    </xdr:from>
    <xdr:to>
      <xdr:col>3</xdr:col>
      <xdr:colOff>271486</xdr:colOff>
      <xdr:row>4</xdr:row>
      <xdr:rowOff>101141</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1725AA96-6C9B-4509-A3AD-ADD8D36A907E}"/>
            </a:ext>
          </a:extLst>
        </xdr:cNvPr>
        <xdr:cNvSpPr/>
      </xdr:nvSpPr>
      <xdr:spPr>
        <a:xfrm>
          <a:off x="7612033" y="47501"/>
          <a:ext cx="3188908" cy="77407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3</xdr:col>
      <xdr:colOff>452232</xdr:colOff>
      <xdr:row>0</xdr:row>
      <xdr:rowOff>47501</xdr:rowOff>
    </xdr:from>
    <xdr:to>
      <xdr:col>5</xdr:col>
      <xdr:colOff>1480207</xdr:colOff>
      <xdr:row>4</xdr:row>
      <xdr:rowOff>101141</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BBFF8704-6354-4B9F-88F2-F8F96D3AB0E6}"/>
            </a:ext>
          </a:extLst>
        </xdr:cNvPr>
        <xdr:cNvSpPr/>
      </xdr:nvSpPr>
      <xdr:spPr>
        <a:xfrm>
          <a:off x="10981687" y="47501"/>
          <a:ext cx="3715756" cy="77407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5</xdr:col>
      <xdr:colOff>1660953</xdr:colOff>
      <xdr:row>0</xdr:row>
      <xdr:rowOff>47501</xdr:rowOff>
    </xdr:from>
    <xdr:to>
      <xdr:col>5</xdr:col>
      <xdr:colOff>5216041</xdr:colOff>
      <xdr:row>4</xdr:row>
      <xdr:rowOff>101141</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FEB4BDC-A079-47E6-BAC3-14BB3D61D6B5}"/>
            </a:ext>
          </a:extLst>
        </xdr:cNvPr>
        <xdr:cNvSpPr/>
      </xdr:nvSpPr>
      <xdr:spPr>
        <a:xfrm>
          <a:off x="14878189" y="47501"/>
          <a:ext cx="3555088" cy="77407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5</xdr:col>
      <xdr:colOff>5396787</xdr:colOff>
      <xdr:row>0</xdr:row>
      <xdr:rowOff>47501</xdr:rowOff>
    </xdr:from>
    <xdr:to>
      <xdr:col>7</xdr:col>
      <xdr:colOff>781072</xdr:colOff>
      <xdr:row>4</xdr:row>
      <xdr:rowOff>101141</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DBA24715-47EB-4286-BE9A-0C5E2D6483C4}"/>
            </a:ext>
          </a:extLst>
        </xdr:cNvPr>
        <xdr:cNvSpPr/>
      </xdr:nvSpPr>
      <xdr:spPr>
        <a:xfrm>
          <a:off x="18614023" y="47501"/>
          <a:ext cx="4375885" cy="77407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7</xdr:col>
      <xdr:colOff>961815</xdr:colOff>
      <xdr:row>0</xdr:row>
      <xdr:rowOff>47500</xdr:rowOff>
    </xdr:from>
    <xdr:to>
      <xdr:col>8</xdr:col>
      <xdr:colOff>1191491</xdr:colOff>
      <xdr:row>4</xdr:row>
      <xdr:rowOff>138545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5AFB3ACE-6AD1-46EB-BA1D-DD43A88457B3}"/>
            </a:ext>
          </a:extLst>
        </xdr:cNvPr>
        <xdr:cNvSpPr/>
      </xdr:nvSpPr>
      <xdr:spPr>
        <a:xfrm>
          <a:off x="23170651" y="47500"/>
          <a:ext cx="2820476" cy="811481"/>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0</xdr:col>
      <xdr:colOff>51954</xdr:colOff>
      <xdr:row>0</xdr:row>
      <xdr:rowOff>0</xdr:rowOff>
    </xdr:from>
    <xdr:to>
      <xdr:col>1</xdr:col>
      <xdr:colOff>1333500</xdr:colOff>
      <xdr:row>4</xdr:row>
      <xdr:rowOff>35502</xdr:rowOff>
    </xdr:to>
    <xdr:sp macro="" textlink="">
      <xdr:nvSpPr>
        <xdr:cNvPr id="8" name="Text Box 9">
          <a:extLst>
            <a:ext uri="{FF2B5EF4-FFF2-40B4-BE49-F238E27FC236}">
              <a16:creationId xmlns:a16="http://schemas.microsoft.com/office/drawing/2014/main" id="{6AC80B9A-412B-4011-A603-272DE5D8D620}"/>
            </a:ext>
          </a:extLst>
        </xdr:cNvPr>
        <xdr:cNvSpPr txBox="1">
          <a:spLocks noChangeArrowheads="1"/>
        </xdr:cNvSpPr>
      </xdr:nvSpPr>
      <xdr:spPr bwMode="auto">
        <a:xfrm>
          <a:off x="51954" y="0"/>
          <a:ext cx="1887682" cy="797502"/>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1</xdr:col>
      <xdr:colOff>1853046</xdr:colOff>
      <xdr:row>0</xdr:row>
      <xdr:rowOff>47501</xdr:rowOff>
    </xdr:from>
    <xdr:to>
      <xdr:col>2</xdr:col>
      <xdr:colOff>991924</xdr:colOff>
      <xdr:row>4</xdr:row>
      <xdr:rowOff>32161</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D69F6F4B-796C-42EC-A58B-0B0375924A83}"/>
            </a:ext>
          </a:extLst>
        </xdr:cNvPr>
        <xdr:cNvSpPr/>
      </xdr:nvSpPr>
      <xdr:spPr>
        <a:xfrm>
          <a:off x="2490355" y="47501"/>
          <a:ext cx="2616369" cy="705096"/>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Introduction</a:t>
          </a:r>
        </a:p>
      </xdr:txBody>
    </xdr:sp>
    <xdr:clientData/>
  </xdr:twoCellAnchor>
  <xdr:twoCellAnchor>
    <xdr:from>
      <xdr:col>2</xdr:col>
      <xdr:colOff>3789361</xdr:colOff>
      <xdr:row>5</xdr:row>
      <xdr:rowOff>350260</xdr:rowOff>
    </xdr:from>
    <xdr:to>
      <xdr:col>5</xdr:col>
      <xdr:colOff>3167061</xdr:colOff>
      <xdr:row>5</xdr:row>
      <xdr:rowOff>4786312</xdr:rowOff>
    </xdr:to>
    <xdr:sp macro="" textlink="">
      <xdr:nvSpPr>
        <xdr:cNvPr id="10" name="TextBox 9">
          <a:extLst>
            <a:ext uri="{FF2B5EF4-FFF2-40B4-BE49-F238E27FC236}">
              <a16:creationId xmlns:a16="http://schemas.microsoft.com/office/drawing/2014/main" id="{B1496265-D8EB-446D-A9C7-3A68B13B5FBD}"/>
            </a:ext>
          </a:extLst>
        </xdr:cNvPr>
        <xdr:cNvSpPr txBox="1"/>
      </xdr:nvSpPr>
      <xdr:spPr>
        <a:xfrm>
          <a:off x="7789861" y="1302760"/>
          <a:ext cx="8212138" cy="4436052"/>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Digital operational resilience testing</a:t>
          </a:r>
        </a:p>
        <a:p>
          <a:endParaRPr lang="en-US" sz="1400" b="1">
            <a:solidFill>
              <a:schemeClr val="bg1"/>
            </a:solidFill>
          </a:endParaRPr>
        </a:p>
        <a:p>
          <a:r>
            <a:rPr lang="en-US" sz="1400" b="1">
              <a:solidFill>
                <a:schemeClr val="bg1"/>
              </a:solidFill>
            </a:rPr>
            <a:t>- General requirements for the performance of digital operational resilience testing.</a:t>
          </a:r>
        </a:p>
        <a:p>
          <a:r>
            <a:rPr lang="en-US" sz="1400" b="1">
              <a:solidFill>
                <a:schemeClr val="bg1"/>
              </a:solidFill>
            </a:rPr>
            <a:t>- Testing of ICT tools and systems.</a:t>
          </a:r>
        </a:p>
        <a:p>
          <a:r>
            <a:rPr lang="en-US" sz="1400" b="1">
              <a:solidFill>
                <a:schemeClr val="bg1"/>
              </a:solidFill>
            </a:rPr>
            <a:t>- Advanced testing of ICT tools, systems and processes based on threat-led penetration testing (TLPT).</a:t>
          </a:r>
        </a:p>
        <a:p>
          <a:r>
            <a:rPr lang="en-US" sz="1400" b="1">
              <a:solidFill>
                <a:schemeClr val="bg1"/>
              </a:solidFill>
            </a:rPr>
            <a:t>- Requirements for testers for the carrying out of TLPT.</a:t>
          </a:r>
        </a:p>
      </xdr:txBody>
    </xdr:sp>
    <xdr:clientData/>
  </xdr:twoCellAnchor>
  <xdr:twoCellAnchor>
    <xdr:from>
      <xdr:col>5</xdr:col>
      <xdr:colOff>3428999</xdr:colOff>
      <xdr:row>5</xdr:row>
      <xdr:rowOff>357186</xdr:rowOff>
    </xdr:from>
    <xdr:to>
      <xdr:col>8</xdr:col>
      <xdr:colOff>785812</xdr:colOff>
      <xdr:row>5</xdr:row>
      <xdr:rowOff>4857749</xdr:rowOff>
    </xdr:to>
    <xdr:sp macro="" textlink="">
      <xdr:nvSpPr>
        <xdr:cNvPr id="11" name="TextBox 10">
          <a:extLst>
            <a:ext uri="{FF2B5EF4-FFF2-40B4-BE49-F238E27FC236}">
              <a16:creationId xmlns:a16="http://schemas.microsoft.com/office/drawing/2014/main" id="{0FA1DF60-4012-417C-8817-C94DA2B9582C}"/>
            </a:ext>
          </a:extLst>
        </xdr:cNvPr>
        <xdr:cNvSpPr txBox="1"/>
      </xdr:nvSpPr>
      <xdr:spPr>
        <a:xfrm>
          <a:off x="16263937" y="1309686"/>
          <a:ext cx="11858625" cy="4500563"/>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7.xml><?xml version="1.0" encoding="utf-8"?>
<xdr:wsDr xmlns:xdr="http://schemas.openxmlformats.org/drawingml/2006/spreadsheetDrawing" xmlns:a="http://schemas.openxmlformats.org/drawingml/2006/main">
  <xdr:twoCellAnchor>
    <xdr:from>
      <xdr:col>2</xdr:col>
      <xdr:colOff>1457396</xdr:colOff>
      <xdr:row>0</xdr:row>
      <xdr:rowOff>190500</xdr:rowOff>
    </xdr:from>
    <xdr:to>
      <xdr:col>2</xdr:col>
      <xdr:colOff>3607325</xdr:colOff>
      <xdr:row>1</xdr:row>
      <xdr:rowOff>116775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290F1C4-3A73-43FD-AE67-AEACEFD68A48}"/>
            </a:ext>
          </a:extLst>
        </xdr:cNvPr>
        <xdr:cNvSpPr/>
      </xdr:nvSpPr>
      <xdr:spPr>
        <a:xfrm>
          <a:off x="5604853" y="190500"/>
          <a:ext cx="2149929"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Overall Result</a:t>
          </a:r>
        </a:p>
      </xdr:txBody>
    </xdr:sp>
    <xdr:clientData/>
  </xdr:twoCellAnchor>
  <xdr:twoCellAnchor>
    <xdr:from>
      <xdr:col>2</xdr:col>
      <xdr:colOff>3830343</xdr:colOff>
      <xdr:row>0</xdr:row>
      <xdr:rowOff>190500</xdr:rowOff>
    </xdr:from>
    <xdr:to>
      <xdr:col>2</xdr:col>
      <xdr:colOff>5992642</xdr:colOff>
      <xdr:row>1</xdr:row>
      <xdr:rowOff>116775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356CB34F-1777-4B44-913B-94A90C857787}"/>
            </a:ext>
          </a:extLst>
        </xdr:cNvPr>
        <xdr:cNvSpPr/>
      </xdr:nvSpPr>
      <xdr:spPr>
        <a:xfrm>
          <a:off x="7977800" y="190500"/>
          <a:ext cx="2162299"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Task Manager</a:t>
          </a:r>
        </a:p>
      </xdr:txBody>
    </xdr:sp>
    <xdr:clientData/>
  </xdr:twoCellAnchor>
  <xdr:twoCellAnchor>
    <xdr:from>
      <xdr:col>2</xdr:col>
      <xdr:colOff>6215660</xdr:colOff>
      <xdr:row>0</xdr:row>
      <xdr:rowOff>190500</xdr:rowOff>
    </xdr:from>
    <xdr:to>
      <xdr:col>3</xdr:col>
      <xdr:colOff>832922</xdr:colOff>
      <xdr:row>1</xdr:row>
      <xdr:rowOff>116775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E112DA7E-EA38-44D8-A49C-9CB4F869CC2B}"/>
            </a:ext>
          </a:extLst>
        </xdr:cNvPr>
        <xdr:cNvSpPr/>
      </xdr:nvSpPr>
      <xdr:spPr>
        <a:xfrm>
          <a:off x="10363117" y="190500"/>
          <a:ext cx="2705348"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ICT Risk Management</a:t>
          </a:r>
        </a:p>
      </xdr:txBody>
    </xdr:sp>
    <xdr:clientData/>
  </xdr:twoCellAnchor>
  <xdr:twoCellAnchor>
    <xdr:from>
      <xdr:col>3</xdr:col>
      <xdr:colOff>1055940</xdr:colOff>
      <xdr:row>0</xdr:row>
      <xdr:rowOff>190500</xdr:rowOff>
    </xdr:from>
    <xdr:to>
      <xdr:col>5</xdr:col>
      <xdr:colOff>968360</xdr:colOff>
      <xdr:row>1</xdr:row>
      <xdr:rowOff>116775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F964507A-F0EB-4A4F-A218-2BE17C18CB05}"/>
            </a:ext>
          </a:extLst>
        </xdr:cNvPr>
        <xdr:cNvSpPr/>
      </xdr:nvSpPr>
      <xdr:spPr>
        <a:xfrm>
          <a:off x="13291483" y="190500"/>
          <a:ext cx="2633848"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ICT</a:t>
          </a:r>
          <a:r>
            <a:rPr lang="en-US" sz="1800" baseline="0">
              <a:solidFill>
                <a:sysClr val="windowText" lastClr="000000"/>
              </a:solidFill>
            </a:rPr>
            <a:t>-related Incident Management</a:t>
          </a:r>
          <a:endParaRPr lang="en-US" sz="1800">
            <a:solidFill>
              <a:sysClr val="windowText" lastClr="000000"/>
            </a:solidFill>
          </a:endParaRPr>
        </a:p>
      </xdr:txBody>
    </xdr:sp>
    <xdr:clientData/>
  </xdr:twoCellAnchor>
  <xdr:twoCellAnchor>
    <xdr:from>
      <xdr:col>5</xdr:col>
      <xdr:colOff>1191378</xdr:colOff>
      <xdr:row>0</xdr:row>
      <xdr:rowOff>190500</xdr:rowOff>
    </xdr:from>
    <xdr:to>
      <xdr:col>5</xdr:col>
      <xdr:colOff>3530078</xdr:colOff>
      <xdr:row>1</xdr:row>
      <xdr:rowOff>116775</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6D8BA8AD-B654-4FC9-A5AD-664C346E7625}"/>
            </a:ext>
          </a:extLst>
        </xdr:cNvPr>
        <xdr:cNvSpPr/>
      </xdr:nvSpPr>
      <xdr:spPr>
        <a:xfrm>
          <a:off x="16148349" y="190500"/>
          <a:ext cx="2338700"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Testing</a:t>
          </a:r>
        </a:p>
      </xdr:txBody>
    </xdr:sp>
    <xdr:clientData/>
  </xdr:twoCellAnchor>
  <xdr:twoCellAnchor>
    <xdr:from>
      <xdr:col>5</xdr:col>
      <xdr:colOff>3753097</xdr:colOff>
      <xdr:row>0</xdr:row>
      <xdr:rowOff>190500</xdr:rowOff>
    </xdr:from>
    <xdr:to>
      <xdr:col>5</xdr:col>
      <xdr:colOff>7228115</xdr:colOff>
      <xdr:row>1</xdr:row>
      <xdr:rowOff>116775</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3AB8648C-2720-4EC6-BF85-4E3B8D180675}"/>
            </a:ext>
          </a:extLst>
        </xdr:cNvPr>
        <xdr:cNvSpPr/>
      </xdr:nvSpPr>
      <xdr:spPr>
        <a:xfrm>
          <a:off x="18710068" y="190500"/>
          <a:ext cx="3475018" cy="710046"/>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Third Party Risk Management</a:t>
          </a:r>
        </a:p>
      </xdr:txBody>
    </xdr:sp>
    <xdr:clientData/>
  </xdr:twoCellAnchor>
  <xdr:twoCellAnchor>
    <xdr:from>
      <xdr:col>0</xdr:col>
      <xdr:colOff>190500</xdr:colOff>
      <xdr:row>0</xdr:row>
      <xdr:rowOff>176892</xdr:rowOff>
    </xdr:from>
    <xdr:to>
      <xdr:col>1</xdr:col>
      <xdr:colOff>2041979</xdr:colOff>
      <xdr:row>1</xdr:row>
      <xdr:rowOff>463233</xdr:rowOff>
    </xdr:to>
    <xdr:sp macro="" textlink="">
      <xdr:nvSpPr>
        <xdr:cNvPr id="8" name="Text Box 9">
          <a:extLst>
            <a:ext uri="{FF2B5EF4-FFF2-40B4-BE49-F238E27FC236}">
              <a16:creationId xmlns:a16="http://schemas.microsoft.com/office/drawing/2014/main" id="{8EAC81F4-2703-455D-9781-10DCCA09B3F8}"/>
            </a:ext>
          </a:extLst>
        </xdr:cNvPr>
        <xdr:cNvSpPr txBox="1">
          <a:spLocks noChangeArrowheads="1"/>
        </xdr:cNvSpPr>
      </xdr:nvSpPr>
      <xdr:spPr bwMode="auto">
        <a:xfrm>
          <a:off x="190500" y="176892"/>
          <a:ext cx="2463800" cy="1075555"/>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1</xdr:col>
      <xdr:colOff>2126961</xdr:colOff>
      <xdr:row>0</xdr:row>
      <xdr:rowOff>190501</xdr:rowOff>
    </xdr:from>
    <xdr:to>
      <xdr:col>2</xdr:col>
      <xdr:colOff>1231203</xdr:colOff>
      <xdr:row>1</xdr:row>
      <xdr:rowOff>112059</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3B076A2B-A42C-4EE0-9C64-5FECA5D72981}"/>
            </a:ext>
          </a:extLst>
        </xdr:cNvPr>
        <xdr:cNvSpPr/>
      </xdr:nvSpPr>
      <xdr:spPr>
        <a:xfrm>
          <a:off x="2765696" y="190501"/>
          <a:ext cx="2678919" cy="717176"/>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solidFill>
                <a:sysClr val="windowText" lastClr="000000"/>
              </a:solidFill>
            </a:rPr>
            <a:t>Introduction</a:t>
          </a:r>
        </a:p>
      </xdr:txBody>
    </xdr:sp>
    <xdr:clientData/>
  </xdr:twoCellAnchor>
  <xdr:twoCellAnchor>
    <xdr:from>
      <xdr:col>1</xdr:col>
      <xdr:colOff>2126343</xdr:colOff>
      <xdr:row>1</xdr:row>
      <xdr:rowOff>631373</xdr:rowOff>
    </xdr:from>
    <xdr:to>
      <xdr:col>2</xdr:col>
      <xdr:colOff>5067300</xdr:colOff>
      <xdr:row>1</xdr:row>
      <xdr:rowOff>3973286</xdr:rowOff>
    </xdr:to>
    <xdr:sp macro="" textlink="">
      <xdr:nvSpPr>
        <xdr:cNvPr id="10" name="TextBox 9">
          <a:extLst>
            <a:ext uri="{FF2B5EF4-FFF2-40B4-BE49-F238E27FC236}">
              <a16:creationId xmlns:a16="http://schemas.microsoft.com/office/drawing/2014/main" id="{D43633BC-7F2C-4BC4-B9B0-47280E2DFD85}"/>
            </a:ext>
          </a:extLst>
        </xdr:cNvPr>
        <xdr:cNvSpPr txBox="1"/>
      </xdr:nvSpPr>
      <xdr:spPr>
        <a:xfrm>
          <a:off x="2735943" y="1431473"/>
          <a:ext cx="6369957" cy="3341913"/>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ICT third-party risk</a:t>
          </a:r>
        </a:p>
        <a:p>
          <a:r>
            <a:rPr lang="en-US" sz="1800" b="0">
              <a:solidFill>
                <a:schemeClr val="bg1"/>
              </a:solidFill>
            </a:rPr>
            <a:t>- General principles.</a:t>
          </a:r>
        </a:p>
        <a:p>
          <a:r>
            <a:rPr lang="en-US" sz="1800" b="0">
              <a:solidFill>
                <a:schemeClr val="bg1"/>
              </a:solidFill>
            </a:rPr>
            <a:t>- Preliminary assessment of ICT concentration risk at entity level.</a:t>
          </a:r>
        </a:p>
        <a:p>
          <a:r>
            <a:rPr lang="en-US" sz="1800" b="0">
              <a:solidFill>
                <a:schemeClr val="bg1"/>
              </a:solidFill>
            </a:rPr>
            <a:t>- Key contractual provisions.</a:t>
          </a:r>
        </a:p>
        <a:p>
          <a:r>
            <a:rPr lang="en-US" sz="1800" b="0">
              <a:solidFill>
                <a:schemeClr val="bg1"/>
              </a:solidFill>
            </a:rPr>
            <a:t>- Designation of critical ICT third-party service providers.</a:t>
          </a:r>
        </a:p>
        <a:p>
          <a:r>
            <a:rPr lang="en-US" sz="1800" b="0">
              <a:solidFill>
                <a:schemeClr val="bg1"/>
              </a:solidFill>
            </a:rPr>
            <a:t>- Structure of the Oversight Framework.</a:t>
          </a:r>
        </a:p>
        <a:p>
          <a:r>
            <a:rPr lang="en-US" sz="1800" b="0">
              <a:solidFill>
                <a:schemeClr val="bg1"/>
              </a:solidFill>
            </a:rPr>
            <a:t>- Tasks of the Lead Overseer.</a:t>
          </a:r>
        </a:p>
        <a:p>
          <a:r>
            <a:rPr lang="en-US" sz="1800" b="0">
              <a:solidFill>
                <a:schemeClr val="bg1"/>
              </a:solidFill>
            </a:rPr>
            <a:t>- Operational coordination between Lead Overseers.</a:t>
          </a:r>
        </a:p>
        <a:p>
          <a:r>
            <a:rPr lang="en-US" sz="1800" b="0">
              <a:solidFill>
                <a:schemeClr val="bg1"/>
              </a:solidFill>
            </a:rPr>
            <a:t>- Powers of the Lead Overseer.</a:t>
          </a:r>
        </a:p>
        <a:p>
          <a:r>
            <a:rPr lang="en-US" sz="1800" b="0">
              <a:solidFill>
                <a:schemeClr val="bg1"/>
              </a:solidFill>
            </a:rPr>
            <a:t>- Exercise of the powers of the Lead Overseer outside the Union.</a:t>
          </a:r>
        </a:p>
        <a:p>
          <a:r>
            <a:rPr lang="en-US" sz="1800" b="0">
              <a:solidFill>
                <a:schemeClr val="bg1"/>
              </a:solidFill>
            </a:rPr>
            <a:t>- General investigations, inspections, ongoing oversight.</a:t>
          </a:r>
        </a:p>
      </xdr:txBody>
    </xdr:sp>
    <xdr:clientData/>
  </xdr:twoCellAnchor>
  <xdr:twoCellAnchor>
    <xdr:from>
      <xdr:col>2</xdr:col>
      <xdr:colOff>5441372</xdr:colOff>
      <xdr:row>1</xdr:row>
      <xdr:rowOff>602671</xdr:rowOff>
    </xdr:from>
    <xdr:to>
      <xdr:col>5</xdr:col>
      <xdr:colOff>5746172</xdr:colOff>
      <xdr:row>1</xdr:row>
      <xdr:rowOff>5039590</xdr:rowOff>
    </xdr:to>
    <xdr:sp macro="" textlink="">
      <xdr:nvSpPr>
        <xdr:cNvPr id="11" name="TextBox 10">
          <a:extLst>
            <a:ext uri="{FF2B5EF4-FFF2-40B4-BE49-F238E27FC236}">
              <a16:creationId xmlns:a16="http://schemas.microsoft.com/office/drawing/2014/main" id="{0AF2C1EE-25A2-4704-AE41-D6F642241D99}"/>
            </a:ext>
          </a:extLst>
        </xdr:cNvPr>
        <xdr:cNvSpPr txBox="1"/>
      </xdr:nvSpPr>
      <xdr:spPr>
        <a:xfrm>
          <a:off x="9476508" y="1399307"/>
          <a:ext cx="12427528" cy="4436919"/>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drawings/drawing9.xml><?xml version="1.0" encoding="utf-8"?>
<xdr:wsDr xmlns:xdr="http://schemas.openxmlformats.org/drawingml/2006/spreadsheetDrawing" xmlns:a="http://schemas.openxmlformats.org/drawingml/2006/main">
  <xdr:twoCellAnchor>
    <xdr:from>
      <xdr:col>2</xdr:col>
      <xdr:colOff>2327097</xdr:colOff>
      <xdr:row>0</xdr:row>
      <xdr:rowOff>142112</xdr:rowOff>
    </xdr:from>
    <xdr:to>
      <xdr:col>2</xdr:col>
      <xdr:colOff>4469182</xdr:colOff>
      <xdr:row>0</xdr:row>
      <xdr:rowOff>666976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085F237-931A-42E5-8B47-82BB025529A5}"/>
            </a:ext>
          </a:extLst>
        </xdr:cNvPr>
        <xdr:cNvSpPr/>
      </xdr:nvSpPr>
      <xdr:spPr>
        <a:xfrm>
          <a:off x="7425570" y="142112"/>
          <a:ext cx="2142085"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Overall Result</a:t>
          </a:r>
        </a:p>
      </xdr:txBody>
    </xdr:sp>
    <xdr:clientData/>
  </xdr:twoCellAnchor>
  <xdr:twoCellAnchor>
    <xdr:from>
      <xdr:col>2</xdr:col>
      <xdr:colOff>4678673</xdr:colOff>
      <xdr:row>0</xdr:row>
      <xdr:rowOff>142112</xdr:rowOff>
    </xdr:from>
    <xdr:to>
      <xdr:col>4</xdr:col>
      <xdr:colOff>1002373</xdr:colOff>
      <xdr:row>0</xdr:row>
      <xdr:rowOff>666976</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1602EB1E-7967-4FF3-A16D-C84B5EC8AD25}"/>
            </a:ext>
          </a:extLst>
        </xdr:cNvPr>
        <xdr:cNvSpPr/>
      </xdr:nvSpPr>
      <xdr:spPr>
        <a:xfrm>
          <a:off x="9777146" y="142112"/>
          <a:ext cx="7504318"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Task Manager</a:t>
          </a:r>
        </a:p>
      </xdr:txBody>
    </xdr:sp>
    <xdr:clientData/>
  </xdr:twoCellAnchor>
  <xdr:twoCellAnchor>
    <xdr:from>
      <xdr:col>4</xdr:col>
      <xdr:colOff>1211864</xdr:colOff>
      <xdr:row>0</xdr:row>
      <xdr:rowOff>142112</xdr:rowOff>
    </xdr:from>
    <xdr:to>
      <xdr:col>5</xdr:col>
      <xdr:colOff>2232562</xdr:colOff>
      <xdr:row>0</xdr:row>
      <xdr:rowOff>666976</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56DEF928-817D-452D-B06E-153B0857448B}"/>
            </a:ext>
          </a:extLst>
        </xdr:cNvPr>
        <xdr:cNvSpPr/>
      </xdr:nvSpPr>
      <xdr:spPr>
        <a:xfrm>
          <a:off x="17490955" y="142112"/>
          <a:ext cx="236458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 Risk Management</a:t>
          </a:r>
        </a:p>
      </xdr:txBody>
    </xdr:sp>
    <xdr:clientData/>
  </xdr:twoCellAnchor>
  <xdr:twoCellAnchor>
    <xdr:from>
      <xdr:col>5</xdr:col>
      <xdr:colOff>2442053</xdr:colOff>
      <xdr:row>0</xdr:row>
      <xdr:rowOff>142112</xdr:rowOff>
    </xdr:from>
    <xdr:to>
      <xdr:col>5</xdr:col>
      <xdr:colOff>6263261</xdr:colOff>
      <xdr:row>0</xdr:row>
      <xdr:rowOff>666976</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E90474AD-A2D5-4368-9EAC-ECAE7DCF24EB}"/>
            </a:ext>
          </a:extLst>
        </xdr:cNvPr>
        <xdr:cNvSpPr/>
      </xdr:nvSpPr>
      <xdr:spPr>
        <a:xfrm>
          <a:off x="20065035" y="142112"/>
          <a:ext cx="3821208"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ICT</a:t>
          </a:r>
          <a:r>
            <a:rPr lang="en-US" sz="1600" baseline="0">
              <a:solidFill>
                <a:sysClr val="windowText" lastClr="000000"/>
              </a:solidFill>
            </a:rPr>
            <a:t>-related Incident Management</a:t>
          </a:r>
          <a:endParaRPr lang="en-US" sz="1600">
            <a:solidFill>
              <a:sysClr val="windowText" lastClr="000000"/>
            </a:solidFill>
          </a:endParaRPr>
        </a:p>
      </xdr:txBody>
    </xdr:sp>
    <xdr:clientData/>
  </xdr:twoCellAnchor>
  <xdr:twoCellAnchor>
    <xdr:from>
      <xdr:col>5</xdr:col>
      <xdr:colOff>6472752</xdr:colOff>
      <xdr:row>0</xdr:row>
      <xdr:rowOff>142112</xdr:rowOff>
    </xdr:from>
    <xdr:to>
      <xdr:col>6</xdr:col>
      <xdr:colOff>1157679</xdr:colOff>
      <xdr:row>0</xdr:row>
      <xdr:rowOff>666976</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DA5FF50C-F00C-40A5-9481-61FB20006FB2}"/>
            </a:ext>
          </a:extLst>
        </xdr:cNvPr>
        <xdr:cNvSpPr/>
      </xdr:nvSpPr>
      <xdr:spPr>
        <a:xfrm>
          <a:off x="24095734" y="142112"/>
          <a:ext cx="3053072"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Testing</a:t>
          </a:r>
        </a:p>
      </xdr:txBody>
    </xdr:sp>
    <xdr:clientData/>
  </xdr:twoCellAnchor>
  <xdr:twoCellAnchor>
    <xdr:from>
      <xdr:col>6</xdr:col>
      <xdr:colOff>1367171</xdr:colOff>
      <xdr:row>0</xdr:row>
      <xdr:rowOff>142112</xdr:rowOff>
    </xdr:from>
    <xdr:to>
      <xdr:col>7</xdr:col>
      <xdr:colOff>2557362</xdr:colOff>
      <xdr:row>0</xdr:row>
      <xdr:rowOff>666976</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47C7D0B6-9DB1-4286-86AA-FF6BE2EA10BD}"/>
            </a:ext>
          </a:extLst>
        </xdr:cNvPr>
        <xdr:cNvSpPr/>
      </xdr:nvSpPr>
      <xdr:spPr>
        <a:xfrm>
          <a:off x="27358298"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Third Party Risk Management</a:t>
          </a:r>
        </a:p>
      </xdr:txBody>
    </xdr:sp>
    <xdr:clientData/>
  </xdr:twoCellAnchor>
  <xdr:twoCellAnchor>
    <xdr:from>
      <xdr:col>0</xdr:col>
      <xdr:colOff>27214</xdr:colOff>
      <xdr:row>0</xdr:row>
      <xdr:rowOff>0</xdr:rowOff>
    </xdr:from>
    <xdr:to>
      <xdr:col>1</xdr:col>
      <xdr:colOff>1171121</xdr:colOff>
      <xdr:row>3</xdr:row>
      <xdr:rowOff>136662</xdr:rowOff>
    </xdr:to>
    <xdr:sp macro="" textlink="">
      <xdr:nvSpPr>
        <xdr:cNvPr id="8" name="Text Box 9">
          <a:extLst>
            <a:ext uri="{FF2B5EF4-FFF2-40B4-BE49-F238E27FC236}">
              <a16:creationId xmlns:a16="http://schemas.microsoft.com/office/drawing/2014/main" id="{161F8B1C-3B0C-45D9-A6D8-6506B6CE63A0}"/>
            </a:ext>
          </a:extLst>
        </xdr:cNvPr>
        <xdr:cNvSpPr txBox="1">
          <a:spLocks noChangeArrowheads="1"/>
        </xdr:cNvSpPr>
      </xdr:nvSpPr>
      <xdr:spPr bwMode="auto">
        <a:xfrm>
          <a:off x="27214" y="0"/>
          <a:ext cx="2463800" cy="1075555"/>
        </a:xfrm>
        <a:prstGeom prst="rect">
          <a:avLst/>
        </a:prstGeom>
        <a:noFill/>
        <a:ln w="9525">
          <a:noFill/>
          <a:miter lim="800000"/>
          <a:headEnd/>
          <a:tailEnd/>
        </a:ln>
      </xdr:spPr>
      <xdr:txBody>
        <a:bodyPr wrap="square" lIns="180000" tIns="180000" rIns="0" bIns="0" anchor="t"/>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eaLnBrk="0" hangingPunct="0">
            <a:defRPr/>
          </a:pPr>
          <a:r>
            <a:rPr lang="sv-SE" sz="2800" b="1">
              <a:solidFill>
                <a:schemeClr val="bg1"/>
              </a:solidFill>
              <a:latin typeface="Book Antiqua" pitchFamily="18" charset="0"/>
            </a:rPr>
            <a:t>DORA</a:t>
          </a:r>
          <a:endParaRPr lang="sv-SE" sz="2000" b="0">
            <a:solidFill>
              <a:schemeClr val="bg1"/>
            </a:solidFill>
            <a:latin typeface="Book Antiqua" pitchFamily="18" charset="0"/>
          </a:endParaRPr>
        </a:p>
        <a:p>
          <a:pPr algn="l" eaLnBrk="0" hangingPunct="0">
            <a:defRPr/>
          </a:pPr>
          <a:r>
            <a:rPr lang="sv-SE" sz="1400">
              <a:solidFill>
                <a:schemeClr val="bg1"/>
              </a:solidFill>
              <a:latin typeface="Book Antiqua" pitchFamily="18" charset="0"/>
            </a:rPr>
            <a:t>Self-Assessment </a:t>
          </a:r>
        </a:p>
        <a:p>
          <a:pPr algn="l" eaLnBrk="0" hangingPunct="0">
            <a:defRPr/>
          </a:pPr>
          <a:r>
            <a:rPr lang="sv-SE" sz="1400">
              <a:solidFill>
                <a:schemeClr val="bg1"/>
              </a:solidFill>
              <a:latin typeface="Book Antiqua" pitchFamily="18" charset="0"/>
            </a:rPr>
            <a:t>Tool</a:t>
          </a:r>
        </a:p>
      </xdr:txBody>
    </xdr:sp>
    <xdr:clientData/>
  </xdr:twoCellAnchor>
  <xdr:twoCellAnchor>
    <xdr:from>
      <xdr:col>1</xdr:col>
      <xdr:colOff>3238500</xdr:colOff>
      <xdr:row>0</xdr:row>
      <xdr:rowOff>142112</xdr:rowOff>
    </xdr:from>
    <xdr:to>
      <xdr:col>2</xdr:col>
      <xdr:colOff>2117606</xdr:colOff>
      <xdr:row>0</xdr:row>
      <xdr:rowOff>677244</xdr:rowOff>
    </xdr:to>
    <xdr:sp macro="" textlink="">
      <xdr:nvSpPr>
        <xdr:cNvPr id="9" name="Rectangle: Rounded Corners 8">
          <a:hlinkClick xmlns:r="http://schemas.openxmlformats.org/officeDocument/2006/relationships" r:id="rId7"/>
          <a:extLst>
            <a:ext uri="{FF2B5EF4-FFF2-40B4-BE49-F238E27FC236}">
              <a16:creationId xmlns:a16="http://schemas.microsoft.com/office/drawing/2014/main" id="{AE2512F3-CB61-4CEE-B6A6-FC4820F2CF14}"/>
            </a:ext>
          </a:extLst>
        </xdr:cNvPr>
        <xdr:cNvSpPr/>
      </xdr:nvSpPr>
      <xdr:spPr>
        <a:xfrm>
          <a:off x="4596245" y="142112"/>
          <a:ext cx="2619834" cy="535132"/>
        </a:xfrm>
        <a:prstGeom prst="roundRect">
          <a:avLst/>
        </a:prstGeom>
        <a:solidFill>
          <a:srgbClr val="00DE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Introduction</a:t>
          </a:r>
        </a:p>
      </xdr:txBody>
    </xdr:sp>
    <xdr:clientData/>
  </xdr:twoCellAnchor>
  <xdr:twoCellAnchor>
    <xdr:from>
      <xdr:col>1</xdr:col>
      <xdr:colOff>3297447</xdr:colOff>
      <xdr:row>1</xdr:row>
      <xdr:rowOff>313887</xdr:rowOff>
    </xdr:from>
    <xdr:to>
      <xdr:col>2</xdr:col>
      <xdr:colOff>9957962</xdr:colOff>
      <xdr:row>2</xdr:row>
      <xdr:rowOff>84199</xdr:rowOff>
    </xdr:to>
    <xdr:sp macro="" textlink="">
      <xdr:nvSpPr>
        <xdr:cNvPr id="10" name="TextBox 9">
          <a:extLst>
            <a:ext uri="{FF2B5EF4-FFF2-40B4-BE49-F238E27FC236}">
              <a16:creationId xmlns:a16="http://schemas.microsoft.com/office/drawing/2014/main" id="{C432E36F-50FC-4F5F-8790-FD80763BD79B}"/>
            </a:ext>
          </a:extLst>
        </xdr:cNvPr>
        <xdr:cNvSpPr txBox="1"/>
      </xdr:nvSpPr>
      <xdr:spPr>
        <a:xfrm>
          <a:off x="4682902" y="1058569"/>
          <a:ext cx="10470515" cy="1640675"/>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rPr>
            <a:t>- Exchange of cyber threat information and intelligence amongst financial entities, within trusted communities, to enhance digital operational resilience.</a:t>
          </a:r>
          <a:br>
            <a:rPr lang="en-US" sz="1600">
              <a:solidFill>
                <a:schemeClr val="bg1"/>
              </a:solidFill>
            </a:rPr>
          </a:br>
          <a:r>
            <a:rPr lang="en-US" sz="1600">
              <a:solidFill>
                <a:schemeClr val="bg1"/>
              </a:solidFill>
            </a:rPr>
            <a:t>- Information-sharing arrangements that protect the sensitivity of information shared and are governed by rules of conduct respecting confidentiality, personal data protection and competition law.</a:t>
          </a:r>
          <a:br>
            <a:rPr lang="en-US" sz="1600">
              <a:solidFill>
                <a:schemeClr val="bg1"/>
              </a:solidFill>
            </a:rPr>
          </a:br>
          <a:r>
            <a:rPr lang="en-US" sz="1600">
              <a:solidFill>
                <a:schemeClr val="bg1"/>
              </a:solidFill>
            </a:rPr>
            <a:t>- Defined conditions for participation, including the role of public authorities and ICT third-party service providers, and operational elements such as dedicated IT platforms.</a:t>
          </a:r>
          <a:br>
            <a:rPr lang="en-US" sz="1600">
              <a:solidFill>
                <a:schemeClr val="bg1"/>
              </a:solidFill>
            </a:rPr>
          </a:br>
          <a:r>
            <a:rPr lang="en-US" sz="1600">
              <a:solidFill>
                <a:schemeClr val="bg1"/>
              </a:solidFill>
            </a:rPr>
            <a:t>- Notification to competent authorities of participation in, or cessation of membership in, an information-sharing arrangement.</a:t>
          </a:r>
        </a:p>
      </xdr:txBody>
    </xdr:sp>
    <xdr:clientData/>
  </xdr:twoCellAnchor>
  <xdr:twoCellAnchor>
    <xdr:from>
      <xdr:col>3</xdr:col>
      <xdr:colOff>346364</xdr:colOff>
      <xdr:row>1</xdr:row>
      <xdr:rowOff>259773</xdr:rowOff>
    </xdr:from>
    <xdr:to>
      <xdr:col>8</xdr:col>
      <xdr:colOff>17318</xdr:colOff>
      <xdr:row>2</xdr:row>
      <xdr:rowOff>1558636</xdr:rowOff>
    </xdr:to>
    <xdr:sp macro="" textlink="">
      <xdr:nvSpPr>
        <xdr:cNvPr id="11" name="TextBox 10">
          <a:extLst>
            <a:ext uri="{FF2B5EF4-FFF2-40B4-BE49-F238E27FC236}">
              <a16:creationId xmlns:a16="http://schemas.microsoft.com/office/drawing/2014/main" id="{9696FB73-BFC6-49CF-A0BC-FD768864646E}"/>
            </a:ext>
          </a:extLst>
        </xdr:cNvPr>
        <xdr:cNvSpPr txBox="1"/>
      </xdr:nvSpPr>
      <xdr:spPr>
        <a:xfrm>
          <a:off x="15084137" y="1004455"/>
          <a:ext cx="15880772" cy="4468090"/>
        </a:xfrm>
        <a:prstGeom prst="rect">
          <a:avLst/>
        </a:prstGeom>
        <a:solidFill>
          <a:srgbClr val="004E44"/>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da-DK" sz="1600">
              <a:solidFill>
                <a:schemeClr val="bg1"/>
              </a:solidFill>
              <a:latin typeface="+mn-lt"/>
              <a:ea typeface="+mn-ea"/>
              <a:cs typeface="+mn-cs"/>
            </a:rPr>
            <a:t>"Examples include but are not limited to:</a:t>
          </a:r>
        </a:p>
        <a:p>
          <a:pPr marL="0" indent="0"/>
          <a:r>
            <a:rPr lang="da-DK" sz="1600" b="1">
              <a:solidFill>
                <a:schemeClr val="bg1"/>
              </a:solidFill>
              <a:latin typeface="+mn-lt"/>
              <a:ea typeface="+mn-ea"/>
              <a:cs typeface="+mn-cs"/>
            </a:rPr>
            <a:t>High</a:t>
          </a:r>
          <a:r>
            <a:rPr lang="da-DK" sz="1600" b="1" baseline="0">
              <a:solidFill>
                <a:schemeClr val="bg1"/>
              </a:solidFill>
              <a:latin typeface="+mn-lt"/>
              <a:ea typeface="+mn-ea"/>
              <a:cs typeface="+mn-cs"/>
            </a:rPr>
            <a:t> Effort</a:t>
          </a:r>
          <a:endParaRPr lang="da-DK" sz="1600" b="1">
            <a:solidFill>
              <a:schemeClr val="bg1"/>
            </a:solidFill>
            <a:latin typeface="+mn-lt"/>
            <a:ea typeface="+mn-ea"/>
            <a:cs typeface="+mn-cs"/>
          </a:endParaRPr>
        </a:p>
        <a:p>
          <a:pPr marL="0" indent="0"/>
          <a:r>
            <a:rPr lang="da-DK" sz="1600">
              <a:solidFill>
                <a:schemeClr val="bg1"/>
              </a:solidFill>
              <a:latin typeface="+mn-lt"/>
              <a:ea typeface="+mn-ea"/>
              <a:cs typeface="+mn-cs"/>
            </a:rPr>
            <a:t>- New processes and activities that have not existed previously need to be implemented and embedded into repeatable, regular tasks.</a:t>
          </a:r>
        </a:p>
        <a:p>
          <a:pPr marL="0" indent="0"/>
          <a:r>
            <a:rPr lang="da-DK" sz="1600">
              <a:solidFill>
                <a:schemeClr val="bg1"/>
              </a:solidFill>
              <a:latin typeface="+mn-lt"/>
              <a:ea typeface="+mn-ea"/>
              <a:cs typeface="+mn-cs"/>
            </a:rPr>
            <a:t>- New reporting that have not existed previously need to be implemented.</a:t>
          </a:r>
        </a:p>
        <a:p>
          <a:pPr marL="0" indent="0"/>
          <a:r>
            <a:rPr lang="da-DK" sz="1600">
              <a:solidFill>
                <a:schemeClr val="bg1"/>
              </a:solidFill>
              <a:latin typeface="+mn-lt"/>
              <a:ea typeface="+mn-ea"/>
              <a:cs typeface="+mn-cs"/>
            </a:rPr>
            <a:t>- New governing and steering documents need to be put in place. </a:t>
          </a:r>
        </a:p>
        <a:p>
          <a:pPr marL="0" indent="0"/>
          <a:r>
            <a:rPr lang="da-DK" sz="1600">
              <a:solidFill>
                <a:schemeClr val="bg1"/>
              </a:solidFill>
              <a:latin typeface="+mn-lt"/>
              <a:ea typeface="+mn-ea"/>
              <a:cs typeface="+mn-cs"/>
            </a:rPr>
            <a:t>- Onboarding of a large number of, for example, user accounts or Business Services or infrastructure platforms to security platforms."   </a:t>
          </a:r>
        </a:p>
        <a:p>
          <a:pPr marL="0" indent="0"/>
          <a:r>
            <a:rPr lang="da-DK" sz="1600" b="1">
              <a:solidFill>
                <a:schemeClr val="bg1"/>
              </a:solidFill>
              <a:latin typeface="+mn-lt"/>
              <a:ea typeface="+mn-ea"/>
              <a:cs typeface="+mn-cs"/>
            </a:rPr>
            <a:t>Medium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Improvements to existing processes and activities need to be implemented and embedded into repeatable, regular tasks</a:t>
          </a:r>
        </a:p>
        <a:p>
          <a:pPr marL="0" indent="0"/>
          <a:r>
            <a:rPr lang="da-DK" sz="1600">
              <a:solidFill>
                <a:schemeClr val="bg1"/>
              </a:solidFill>
              <a:latin typeface="+mn-lt"/>
              <a:ea typeface="+mn-ea"/>
              <a:cs typeface="+mn-cs"/>
            </a:rPr>
            <a:t>- Improvements into existing reporting that need to be implemented.</a:t>
          </a:r>
        </a:p>
        <a:p>
          <a:pPr marL="0" indent="0"/>
          <a:r>
            <a:rPr lang="da-DK" sz="1600">
              <a:solidFill>
                <a:schemeClr val="bg1"/>
              </a:solidFill>
              <a:latin typeface="+mn-lt"/>
              <a:ea typeface="+mn-ea"/>
              <a:cs typeface="+mn-cs"/>
            </a:rPr>
            <a:t>- Updates to existing governing and steering documents.</a:t>
          </a:r>
        </a:p>
        <a:p>
          <a:pPr marL="0" indent="0"/>
          <a:r>
            <a:rPr lang="da-DK" sz="1600">
              <a:solidFill>
                <a:schemeClr val="bg1"/>
              </a:solidFill>
              <a:latin typeface="+mn-lt"/>
              <a:ea typeface="+mn-ea"/>
              <a:cs typeface="+mn-cs"/>
            </a:rPr>
            <a:t>- Continued onboarding of, for example, user accounts or Business Services or infrastructure platforms applications to security platforms."            </a:t>
          </a:r>
        </a:p>
        <a:p>
          <a:pPr marL="0" indent="0"/>
          <a:r>
            <a:rPr lang="da-DK" sz="1600" b="1">
              <a:solidFill>
                <a:schemeClr val="bg1"/>
              </a:solidFill>
              <a:latin typeface="+mn-lt"/>
              <a:ea typeface="+mn-ea"/>
              <a:cs typeface="+mn-cs"/>
            </a:rPr>
            <a:t>Low Effort </a:t>
          </a:r>
        </a:p>
        <a:p>
          <a:pPr marL="0" indent="0"/>
          <a:r>
            <a:rPr lang="da-DK" sz="1600">
              <a:solidFill>
                <a:schemeClr val="bg1"/>
              </a:solidFill>
              <a:latin typeface="+mn-lt"/>
              <a:ea typeface="+mn-ea"/>
              <a:cs typeface="+mn-cs"/>
            </a:rPr>
            <a:t>"Examples include but are not limited to:</a:t>
          </a:r>
        </a:p>
        <a:p>
          <a:pPr marL="0" indent="0"/>
          <a:r>
            <a:rPr lang="da-DK" sz="1600">
              <a:solidFill>
                <a:schemeClr val="bg1"/>
              </a:solidFill>
              <a:latin typeface="+mn-lt"/>
              <a:ea typeface="+mn-ea"/>
              <a:cs typeface="+mn-cs"/>
            </a:rPr>
            <a:t>- Minor corrections to established processes and activities.</a:t>
          </a:r>
        </a:p>
        <a:p>
          <a:pPr marL="0" indent="0"/>
          <a:r>
            <a:rPr lang="da-DK" sz="1600">
              <a:solidFill>
                <a:schemeClr val="bg1"/>
              </a:solidFill>
              <a:latin typeface="+mn-lt"/>
              <a:ea typeface="+mn-ea"/>
              <a:cs typeface="+mn-cs"/>
            </a:rPr>
            <a:t>- Minor updates to existing documentation (regulations, process descriptions etc). </a:t>
          </a:r>
        </a:p>
        <a:p>
          <a:pPr marL="0" indent="0"/>
          <a:r>
            <a:rPr lang="da-DK" sz="1600">
              <a:solidFill>
                <a:schemeClr val="bg1"/>
              </a:solidFill>
              <a:latin typeface="+mn-lt"/>
              <a:ea typeface="+mn-ea"/>
              <a:cs typeface="+mn-cs"/>
            </a:rPr>
            <a:t>- Other quick wins." </a:t>
          </a:r>
        </a:p>
      </xdr:txBody>
    </xdr:sp>
    <xdr:clientData/>
  </xdr:twoCell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absoluteAnchor>
    <xdr:pos x="31708999" y="142112"/>
    <xdr:ext cx="4141209" cy="524864"/>
    <xdr:sp macro="" textlink="">
      <xdr:nvSpPr>
        <xdr:cNvPr id="500" name="Rectangle: Rounded Corners InfoShare">
          <a:hlinkClick xmlns:r="http://schemas.openxmlformats.org/officeDocument/2006/relationships" r:id="rId8"/>
        </xdr:cNvPr>
        <xdr:cNvSpPr/>
      </xdr:nvSpPr>
      <xdr:spPr>
        <a:xfrm>
          <a:off x="31708999" y="142112"/>
          <a:ext cx="4141209" cy="524864"/>
        </a:xfrm>
        <a:prstGeom prst="roundRect">
          <a:avLst/>
        </a:prstGeom>
        <a:solidFill>
          <a:srgbClr val="00D6B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Information Sharing</a:t>
          </a:r>
        </a:p>
      </xdr:txBody>
    </xdr:sp>
    <xdr:clientData/>
  </xdr:absoluteAnchor>
</xdr:wsDr>
</file>

<file path=xl/persons/person.xml><?xml version="1.0" encoding="utf-8"?>
<personList xmlns="http://schemas.microsoft.com/office/spreadsheetml/2018/threadedcomments" xmlns:x="http://schemas.openxmlformats.org/spreadsheetml/2006/main">
  <person displayName="Reviewer" id="{976F90AB-CCEE-4037-BEAA-7D2F74134AB5}"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F3965A-0C61-4118-B2AF-23E9D772C9D5}" autoFormatId="16" applyNumberFormats="0" applyBorderFormats="0" applyFontFormats="0" applyPatternFormats="0" applyAlignmentFormats="0" applyWidthHeightFormats="0">
  <queryTableRefresh nextId="12">
    <queryTableFields count="11">
      <queryTableField id="1" name="Topic " tableColumnId="1"/>
      <queryTableField id="2" name="Question" tableColumnId="2"/>
      <queryTableField id="3" name="Article  " tableColumnId="3"/>
      <queryTableField id="4" name="Section" tableColumnId="4"/>
      <queryTableField id="5" name="DORA Text _x000a_(subset of DORA text in relation to the question) " tableColumnId="5"/>
      <queryTableField id="6" name="Requirements for specific companies " tableColumnId="6"/>
      <queryTableField id="7" name="Do you meet the requirements today?" tableColumnId="7"/>
      <queryTableField id="8" name="% requirements meet" tableColumnId="8"/>
      <queryTableField id="9" name="Priority" tableColumnId="9"/>
      <queryTableField id="10" name="Effort level _x000a_(How much effort will it take to implement) " tableColumnId="10"/>
      <queryTableField id="11" name="Comments/Tasks "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66577333-016F-4007-AA70-8B8E5C0BB7E8}" autoFormatId="16" applyNumberFormats="0" applyBorderFormats="0" applyFontFormats="0" applyPatternFormats="0" applyAlignmentFormats="0" applyWidthHeightFormats="0">
  <queryTableRefresh nextId="15">
    <queryTableFields count="11">
      <queryTableField id="1" name="Topic " tableColumnId="1"/>
      <queryTableField id="2" name="Question" tableColumnId="2"/>
      <queryTableField id="3" name="Article  " tableColumnId="3"/>
      <queryTableField id="4" name="Section" tableColumnId="4"/>
      <queryTableField id="13" name="DORA Text _x000a_(subset of DORA text in relation to the question) " tableColumnId="5"/>
      <queryTableField id="6" name="Requirements for specific companies " tableColumnId="6"/>
      <queryTableField id="7" name="Do you meet the requirements today?" tableColumnId="7"/>
      <queryTableField id="8" name="% requirements meet" tableColumnId="8"/>
      <queryTableField id="9" name="Priority" tableColumnId="9"/>
      <queryTableField id="11" name="Effort level _x000a_(How much effort will it take to implement) " tableColumnId="11"/>
      <queryTableField id="10" name="Comments/Tasks "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5" xr16:uid="{EC9097F7-00EE-4C41-9EBB-B5FD76E1A953}" autoFormatId="16" applyNumberFormats="0" applyBorderFormats="0" applyFontFormats="0" applyPatternFormats="0" applyAlignmentFormats="0" applyWidthHeightFormats="0">
  <queryTableRefresh nextId="15">
    <queryTableFields count="11">
      <queryTableField id="1" name="Topic " tableColumnId="1"/>
      <queryTableField id="2" name="Question" tableColumnId="2"/>
      <queryTableField id="3" name="Article  " tableColumnId="3"/>
      <queryTableField id="4" name="Section" tableColumnId="4"/>
      <queryTableField id="13" name="DORA Text _x000a_(subset of DORA text in relation to the question) " tableColumnId="5"/>
      <queryTableField id="6" name="Requirements for specific companies " tableColumnId="6"/>
      <queryTableField id="7" name="Do you meet the requirements today?" tableColumnId="7"/>
      <queryTableField id="8" name="% requirements meet" tableColumnId="8"/>
      <queryTableField id="9" name="Priority" tableColumnId="9"/>
      <queryTableField id="11" name="Effort level _x000a_(How much effort will it take to implement) " tableColumnId="11"/>
      <queryTableField id="10" name="Comments/Tasks "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3" xr16:uid="{F5635FD0-4562-4815-B282-6ADFAC3143B1}" autoFormatId="16" applyNumberFormats="0" applyBorderFormats="0" applyFontFormats="0" applyPatternFormats="0" applyAlignmentFormats="0" applyWidthHeightFormats="0">
  <queryTableRefresh nextId="12">
    <queryTableFields count="11">
      <queryTableField id="1" name="Topic " tableColumnId="1"/>
      <queryTableField id="2" name="Question" tableColumnId="2"/>
      <queryTableField id="3" name="Article  " tableColumnId="3"/>
      <queryTableField id="4" name="Section" tableColumnId="4"/>
      <queryTableField id="5" name="DORA Text _x000a_(subset of DORA text in relation to the question) " tableColumnId="5"/>
      <queryTableField id="6" name="Requirements for specific companies " tableColumnId="6"/>
      <queryTableField id="7" name="Do you meet the requirements today?" tableColumnId="7"/>
      <queryTableField id="8" name="% requirements meet" tableColumnId="8"/>
      <queryTableField id="9" name="Priority" tableColumnId="9"/>
      <queryTableField id="10" name="Effort level _x000a_(How much effort will it take to implement) " tableColumnId="10"/>
      <queryTableField id="11" name="Comments/Tasks " tableColumnId="1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4" xr16:uid="{5B06E3D1-42D7-427A-B250-22552AEBEE0D}" autoFormatId="16" applyNumberFormats="0" applyBorderFormats="0" applyFontFormats="0" applyPatternFormats="0" applyAlignmentFormats="0" applyWidthHeightFormats="0">
  <queryTableRefresh nextId="12">
    <queryTableFields count="11">
      <queryTableField id="1" name="Topic " tableColumnId="1"/>
      <queryTableField id="2" name="Question" tableColumnId="2"/>
      <queryTableField id="3" name="Article  " tableColumnId="3"/>
      <queryTableField id="4" name="Section" tableColumnId="4"/>
      <queryTableField id="5" name="DORA Text _x000a_(subset of DORA text in relation to the question) " tableColumnId="5"/>
      <queryTableField id="6" name="Requirements for specific companies " tableColumnId="6"/>
      <queryTableField id="7" name="Do you meet the requirements today?" tableColumnId="7"/>
      <queryTableField id="8" name="% requirements meet" tableColumnId="8"/>
      <queryTableField id="9" name="Priority" tableColumnId="9"/>
      <queryTableField id="10" name="Effort level _x000a_(How much effort will it take to implement) " tableColumnId="10"/>
      <queryTableField id="11" name="Comments/Tasks " tableColumnId="1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B6BFD07-C86D-4EAE-B89E-9755B850AFDF}" name="Table10" displayName="Table10" ref="E4:F7" totalsRowShown="0" headerRowDxfId="157" headerRowCellStyle="Normal" dataCellStyle="Normal">
  <autoFilter ref="E4:F7" xr:uid="{E0001A2D-E143-4B10-A801-4E55578548EA}"/>
  <tableColumns count="2">
    <tableColumn id="1" xr3:uid="{D5885ECA-67EA-4E86-A5BE-B0ACB3F2F908}" name="Effort Level " dataDxfId="156" dataCellStyle="Normal"/>
    <tableColumn id="2" xr3:uid="{250873F2-AB8C-4769-A716-420E08D9D4DB}" name="Description" dataDxfId="155" dataCellStyle="Normal"/>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BB385C1-D75A-4917-907D-7B5DC273F060}" name="Table1013" displayName="Table1013" ref="E10:F15" totalsRowShown="0" headerRowDxfId="154" headerRowCellStyle="Normal" dataCellStyle="Normal">
  <autoFilter ref="E10:F15" xr:uid="{CAB57423-121C-4A1D-8150-C3ED199E9C3D}"/>
  <tableColumns count="2">
    <tableColumn id="1" xr3:uid="{E1AFEC0A-077B-4DB5-AB28-191959873995}" name="Priority Level" dataDxfId="153" dataCellStyle="Normal"/>
    <tableColumn id="2" xr3:uid="{5F1585AA-7BA9-47CE-9280-AC45FDDBD667}" name="Description" dataDxfId="152" dataCellStyle="Normal"/>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24C5F69-E2AA-4BDB-A9AC-57A026736B63}" name="Table_Append1" displayName="Table_Append1" ref="B13:L14" tableType="queryTable" insertRow="1" totalsRowShown="0" headerRowDxfId="145" dataDxfId="143" headerRowBorderDxfId="144" tableBorderDxfId="142">
  <autoFilter ref="B13:L14" xr:uid="{F24C5F69-E2AA-4BDB-A9AC-57A026736B63}"/>
  <tableColumns count="11">
    <tableColumn id="1" xr3:uid="{94080D1C-669B-4562-8062-47264E311CF3}" uniqueName="1" name="Topic " queryTableFieldId="1" dataDxfId="141"/>
    <tableColumn id="2" xr3:uid="{0EBD2C3A-8D13-4D9C-A098-D839C89C82EE}" uniqueName="2" name="Question" queryTableFieldId="2" dataDxfId="140"/>
    <tableColumn id="3" xr3:uid="{90042855-B249-4CCE-B713-C2453CEE7F61}" uniqueName="3" name="Article  " queryTableFieldId="3" dataDxfId="139"/>
    <tableColumn id="4" xr3:uid="{C1EAAEED-8298-40E6-BC02-9DE3B604023A}" uniqueName="4" name="Section" queryTableFieldId="4" dataDxfId="138"/>
    <tableColumn id="5" xr3:uid="{5120FED8-F34B-465D-B4D3-46CF8AB1C365}" uniqueName="5" name="DORA Text _x000a_(subset of DORA text in relation to the question) " queryTableFieldId="5" dataDxfId="137"/>
    <tableColumn id="6" xr3:uid="{80206529-0835-4428-8134-482C2AFAE6C1}" uniqueName="6" name="Requirements for specific companies " queryTableFieldId="6" dataDxfId="136"/>
    <tableColumn id="7" xr3:uid="{9F901093-0A0F-4C2A-B705-3F7F07F5C5D6}" uniqueName="7" name="Do you meet the requirements today?" queryTableFieldId="7" dataDxfId="135"/>
    <tableColumn id="8" xr3:uid="{22218E3E-645A-47A0-BFA6-7BCB3FCEFAA2}" uniqueName="8" name="% requirements meet" queryTableFieldId="8" dataDxfId="134"/>
    <tableColumn id="9" xr3:uid="{6E617513-7318-4841-B575-14FF15F672B1}" uniqueName="9" name="Priority" queryTableFieldId="9" dataDxfId="133"/>
    <tableColumn id="10" xr3:uid="{762C3D25-5D20-4993-A513-2C694F78F79E}" uniqueName="10" name="Effort level _x000a_(How much effort will it take to implement) " queryTableFieldId="10" dataDxfId="132"/>
    <tableColumn id="11" xr3:uid="{5AE939F1-FA95-4128-84AD-5EC6BE9420EB}" uniqueName="11" name="Comments/Tasks " queryTableFieldId="11" dataDxfId="131"/>
  </tableColumns>
  <tableStyleInfo name="TableStyleMedium7"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5689FB-CA38-44A7-BAB9-C376C478F7F9}" name="Table11" displayName="Table11" ref="C6:J44" totalsRowShown="0" headerRowDxfId="122" dataDxfId="120" headerRowBorderDxfId="121" tableBorderDxfId="119" totalsRowBorderDxfId="118" headerRowCellStyle="Normal" dataCellStyle="Normal">
  <autoFilter ref="C6:J44" xr:uid="{78799854-E687-4A3D-9048-EBD905621977}"/>
  <tableColumns count="8">
    <tableColumn id="1" xr3:uid="{CC33A30C-FE9F-46BC-9657-42A027254449}" name="Question _x000a_&quot;The drop-down-list contains all questions from the Overall results table meaning all questions answered with either &quot;no&quot; or &quot;partly&quot;" dataDxfId="117" dataCellStyle="Normal"/>
    <tableColumn id="2" xr3:uid="{41997BA7-B503-4073-939C-8403A190E615}" name="Do you meet the requirements today?" dataDxfId="116" dataCellStyle="Normal">
      <calculatedColumnFormula>+IFERROR(VLOOKUP(Table11[[#This Row],[Question 
"The drop-down-list contains all questions from the Overall results table meaning all questions answered with either "no" or "partly"]],'Overall results'!$C$14:$L$142,6,FALSE),"")</calculatedColumnFormula>
    </tableColumn>
    <tableColumn id="3" xr3:uid="{F28E0B12-2BBE-49A3-A20C-737BD5E25E12}" name="Percentage done " dataDxfId="115" dataCellStyle="Normal">
      <calculatedColumnFormula>+IFERROR(VLOOKUP(Table11[[#This Row],[Question 
"The drop-down-list contains all questions from the Overall results table meaning all questions answered with either "no" or "partly"]],'Overall results'!$C$14:$L$142,7,FALSE),"")</calculatedColumnFormula>
    </tableColumn>
    <tableColumn id="4" xr3:uid="{623B6A08-F986-4D93-8920-17D045F4955B}" name="Priority" dataDxfId="114" dataCellStyle="Normal">
      <calculatedColumnFormula>+IFERROR(VLOOKUP(Table11[[#This Row],[Question 
"The drop-down-list contains all questions from the Overall results table meaning all questions answered with either "no" or "partly"]],'Overall results'!$C$14:$L$142,8,FALSE),"")</calculatedColumnFormula>
    </tableColumn>
    <tableColumn id="8" xr3:uid="{68912D0E-BC75-4B71-BDF3-E1D5481AE66F}" name="Effort Level" dataDxfId="113">
      <calculatedColumnFormula>+IFERROR(VLOOKUP(Table11[[#This Row],[Question 
"The drop-down-list contains all questions from the Overall results table meaning all questions answered with either "no" or "partly"]],'Overall results'!$C$14:$L$142,9,FALSE),"")</calculatedColumnFormula>
    </tableColumn>
    <tableColumn id="5" xr3:uid="{AB69F4DA-5063-4774-9FC3-3B68AA472559}" name="Task " dataDxfId="112" dataCellStyle="Normal"/>
    <tableColumn id="6" xr3:uid="{1E570540-D4A7-4F36-9066-72298572A17C}" name="Responsible " dataDxfId="111" dataCellStyle="Normal"/>
    <tableColumn id="7" xr3:uid="{71625ACE-B29A-46E1-BF01-F3F9047A6274}" name="Due date" dataDxfId="110" dataCellStyle="Normal"/>
  </tableColumns>
  <tableStyleInfo name="TableStyleLight9"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4BE53E-AD2E-4A68-8247-17C81B69C339}" name="Table1" displayName="Table1" ref="B4:L98" totalsRowShown="0" headerRowDxfId="103" dataDxfId="101" headerRowBorderDxfId="102" tableBorderDxfId="100">
  <autoFilter ref="B4:L98" xr:uid="{DD41BC73-893D-43BE-924A-038F181E14FE}"/>
  <sortState xmlns:xlrd2="http://schemas.microsoft.com/office/spreadsheetml/2017/richdata2" ref="B5:L97">
    <sortCondition ref="D4:D97"/>
  </sortState>
  <tableColumns count="11">
    <tableColumn id="1" xr3:uid="{5725FE77-E8D3-47F4-A24A-8C151903AA26}" name="Topic " dataDxfId="99"/>
    <tableColumn id="2" xr3:uid="{81F8805C-CEC1-4DC5-B5D9-410224FBAD3A}" name="Question" dataDxfId="98"/>
    <tableColumn id="3" xr3:uid="{745C53F7-F169-4043-B838-988E16BA32C8}" name="Article  " dataDxfId="97"/>
    <tableColumn id="4" xr3:uid="{BAAE6664-ECDD-480B-9843-188640DDBF4A}" name="Section" dataDxfId="96"/>
    <tableColumn id="5" xr3:uid="{C9FAFAAD-C24D-4130-8BE9-15E5DAD86240}" name="DORA Text _x000a_(subset of DORA text in relation to the question) " dataDxfId="95"/>
    <tableColumn id="10" xr3:uid="{43C226E2-5F18-4333-A466-E44F10C57857}" name="Requirements for specific companies " dataDxfId="94"/>
    <tableColumn id="6" xr3:uid="{F8935EBC-3738-4CF7-83A5-D8948C1A0B3B}" name="Do you meet the requirements today?" dataDxfId="93"/>
    <tableColumn id="7" xr3:uid="{68D66F88-D605-4FA3-9D52-B3E7FEC9C245}" name="% requirements meet" dataDxfId="92"/>
    <tableColumn id="9" xr3:uid="{006834A1-414F-430A-8EB2-1CEA398158F8}" name="Priority" dataDxfId="91"/>
    <tableColumn id="12" xr3:uid="{141F6C13-0955-40B3-A2F2-86E8E8D27076}" name="Effort level _x000a_(How much effort will it take to implement) " dataDxfId="90"/>
    <tableColumn id="8" xr3:uid="{C5317947-2419-45FB-9FC2-4532E9A1EC4A}" name="Comments/Tasks " dataDxfId="89"/>
  </tableColumns>
  <tableStyleInfo name="TableStyleMedium2"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89A0056-5245-49EB-9EEB-16C613537E0D}" name="Table2" displayName="Table2" ref="B5:L27" totalsRowShown="0" headerRowDxfId="82" dataDxfId="80" headerRowBorderDxfId="81">
  <autoFilter ref="B5:L27" xr:uid="{0CC11677-0BE1-4203-8FB0-F45B326238DE}"/>
  <tableColumns count="11">
    <tableColumn id="1" xr3:uid="{F143BC7B-0DA7-499F-9293-5252CE0C1B8E}" name="Topic " dataDxfId="79"/>
    <tableColumn id="2" xr3:uid="{CD97632A-3656-4699-A5F7-50E60793553B}" name="Question" dataDxfId="78"/>
    <tableColumn id="3" xr3:uid="{434FE001-ABCA-453E-94A9-24DE9E8622E6}" name="Article  " dataDxfId="77"/>
    <tableColumn id="4" xr3:uid="{A86239E0-0D08-4DF4-B4E3-3247AE11D154}" name="Section" dataDxfId="76"/>
    <tableColumn id="5" xr3:uid="{044C65AC-DE8E-4C99-A9B4-B1C322B6A568}" name="DORA Text _x000a_(subset of DORA text in relation to the question) " dataDxfId="75"/>
    <tableColumn id="10" xr3:uid="{ECDAC801-8557-4F8F-A016-B58B9E178B34}" name="Requirements for specific companies " dataDxfId="74"/>
    <tableColumn id="6" xr3:uid="{152FA02D-3090-4A5A-B013-9D89340873BC}" name="Do you meet the requirements today?" dataDxfId="73"/>
    <tableColumn id="7" xr3:uid="{F77816AA-48AF-4915-BAF0-A7FB473FC847}" name="% requirements meet" dataDxfId="72"/>
    <tableColumn id="9" xr3:uid="{F7EBB0C7-1995-4479-B2C4-C8223B0C0DBB}" name="Priority" dataDxfId="71"/>
    <tableColumn id="11" xr3:uid="{31E728C5-54B2-4680-99A7-DEC2FABA5AE1}" name="Effort level _x000a_(How much effort will it take to implement) " dataDxfId="70"/>
    <tableColumn id="8" xr3:uid="{92AB0CF9-D384-4402-9556-E39E33D4B02D}" name="Comments/Tasks " dataDxfId="69"/>
  </tableColumns>
  <tableStyleInfo name="TableStyleMedium2"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9F173D-2E4D-469B-B04F-2C671BCA8F4C}" name="Table3" displayName="Table3" ref="B8:L19" totalsRowShown="0" headerRowDxfId="62" dataDxfId="60" headerRowBorderDxfId="61">
  <autoFilter ref="B8:L19" xr:uid="{313DE16C-857C-4DAB-8C33-23D502A840E7}"/>
  <tableColumns count="11">
    <tableColumn id="1" xr3:uid="{08D24E05-A80F-4EA5-B414-64A8FFAB3AD3}" name="Topic " dataDxfId="59"/>
    <tableColumn id="2" xr3:uid="{02384785-DEF4-4228-BA96-72A4F7EFEE19}" name="Question" dataDxfId="58"/>
    <tableColumn id="3" xr3:uid="{4FE4FE19-D1C0-49F0-9453-C090D71A6FCA}" name="Article  " dataDxfId="57"/>
    <tableColumn id="4" xr3:uid="{5D850412-A2F9-4A6F-8A83-D8A2B13DD457}" name="Section" dataDxfId="56"/>
    <tableColumn id="5" xr3:uid="{7D335F00-590B-44D0-A99C-670027372025}" name="DORA Text _x000a_(subset of DORA text in relation to the question) " dataDxfId="55"/>
    <tableColumn id="10" xr3:uid="{E3618242-A6F5-4476-B35C-30D5FC8882DA}" name="Requirements for specific companies " dataDxfId="54"/>
    <tableColumn id="6" xr3:uid="{F1503056-FBED-47C5-A7E7-A3866DC097D4}" name="Do you meet the requirements today?" dataDxfId="53"/>
    <tableColumn id="7" xr3:uid="{DA76CA6A-6F73-4CA8-907C-771C25931533}" name="% requirements meet" dataDxfId="52"/>
    <tableColumn id="9" xr3:uid="{356A5210-24F0-44FB-BDAA-97D7D9005860}" name="Priority" dataDxfId="51"/>
    <tableColumn id="11" xr3:uid="{63E41942-3A34-4FF3-B297-AD7C71AF72FC}" name="Effort level _x000a_(How much effort will it take to implement) " dataDxfId="50"/>
    <tableColumn id="8" xr3:uid="{E31D1EEF-92BA-480E-B9E2-F947D994C5B7}" name="Comments/Tasks " dataDxfId="49"/>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6A1B40-0FDE-4D85-B487-D11A10CAC4FB}" name="Table4" displayName="Table4" ref="B5:L51" totalsRowShown="0" headerRowDxfId="38" dataDxfId="36" headerRowBorderDxfId="37" tableBorderDxfId="35">
  <autoFilter ref="B5:L51" xr:uid="{B2D64499-67A9-4CD3-8A7F-B62FB8C32979}"/>
  <tableColumns count="11">
    <tableColumn id="1" xr3:uid="{193864C2-8B2B-4785-850E-E07C8243EED4}" name="Topic " dataDxfId="34"/>
    <tableColumn id="2" xr3:uid="{77309E81-79D5-4598-8944-4BD2C405FE92}" name="Question" dataDxfId="33"/>
    <tableColumn id="3" xr3:uid="{18B24EFA-DAB0-4A18-ADA1-0133A6974BC4}" name="Article  " dataDxfId="32"/>
    <tableColumn id="4" xr3:uid="{57BAC406-9843-44E5-B580-9490445C3E2F}" name="Section" dataDxfId="31"/>
    <tableColumn id="5" xr3:uid="{06A285EF-EB84-463E-A605-A87BA5A2CB35}" name="DORA Text _x000a_(subset of DORA text in relation to the question) " dataDxfId="30"/>
    <tableColumn id="10" xr3:uid="{F6DB5C57-B613-4B21-ABCA-0A2197891868}" name="Requirements for specific companies " dataDxfId="29"/>
    <tableColumn id="6" xr3:uid="{08C34703-9E78-4DE2-95DA-6E9BA3386F97}" name="Do you meet the requirements today?" dataDxfId="28"/>
    <tableColumn id="7" xr3:uid="{C90B21D8-1D78-4197-8681-33644788F45F}" name="% requirements meet" dataDxfId="27"/>
    <tableColumn id="9" xr3:uid="{8C31A7B2-A3EF-462C-A05F-B116228299C6}" name="Priority" dataDxfId="26"/>
    <tableColumn id="11" xr3:uid="{71434BB6-5D04-4287-9856-645F3AA4FAA9}" name="Effort level _x000a_(How much effort will it take to implement) " dataDxfId="25"/>
    <tableColumn id="8" xr3:uid="{B2F87803-6905-4CB0-826C-3AE17070778C}" name="Comments/Tasks " dataDxfId="24"/>
  </tableColumns>
  <tableStyleInfo name="TableStyleMedium2"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BD7F203-4556-48AE-A139-345B19941ADA}" name="Table1_3" displayName="Table1_3" ref="A1:K3" tableType="queryTable" totalsRowShown="0">
  <autoFilter ref="A1:K3" xr:uid="{C980F4AA-03DC-4C20-86A8-E6919F2D644B}"/>
  <tableColumns count="11">
    <tableColumn id="1" xr3:uid="{177681F5-5713-4773-A39D-981302E37A4A}" uniqueName="1" name="Topic " queryTableFieldId="1" dataDxfId="23"/>
    <tableColumn id="2" xr3:uid="{F9306C7A-54AD-4BDD-AC11-2EACF6928F85}" uniqueName="2" name="Question" queryTableFieldId="2" dataDxfId="22"/>
    <tableColumn id="3" xr3:uid="{731F24D7-35F9-4B40-84A2-B8D74F5F7031}" uniqueName="3" name="Article  " queryTableFieldId="3" dataDxfId="21"/>
    <tableColumn id="4" xr3:uid="{4F45C71E-8E02-4FE5-A78E-2CFD969D9EAE}" uniqueName="4" name="Section" queryTableFieldId="4"/>
    <tableColumn id="5" xr3:uid="{0AE79EF3-ED3A-4C48-9304-6640B817E016}" uniqueName="5" name="DORA Text _x000a_(subset of DORA text in relation to the question) " queryTableFieldId="13"/>
    <tableColumn id="6" xr3:uid="{DC04F8BC-A3C2-4643-996D-5FA1116D79A7}" uniqueName="6" name="Requirements for specific companies " queryTableFieldId="6" dataDxfId="20"/>
    <tableColumn id="7" xr3:uid="{0128C080-FF61-4C32-BD29-7A7FFB3B52D4}" uniqueName="7" name="Do you meet the requirements today?" queryTableFieldId="7" dataDxfId="19"/>
    <tableColumn id="8" xr3:uid="{2223DE79-3706-4479-8851-A3067E870E73}" uniqueName="8" name="% requirements meet" queryTableFieldId="8" dataDxfId="18"/>
    <tableColumn id="9" xr3:uid="{45361132-0B3A-459D-A5E7-5222F6161C08}" uniqueName="9" name="Priority" queryTableFieldId="9" dataDxfId="17"/>
    <tableColumn id="11" xr3:uid="{FE785FA3-00E0-46D6-BA2D-B0FD6AA43FD5}" uniqueName="11" name="Effort level _x000a_(How much effort will it take to implement) " queryTableFieldId="11"/>
    <tableColumn id="10" xr3:uid="{7D927732-8F10-4E0C-8342-4A4A53DBD5AD}" uniqueName="10" name="Comments/Tasks " queryTableFieldId="1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FAA250-5462-4A48-98F7-59213C3AFEF8}" name="Table4_3" displayName="Table4_3" ref="AY1:BI3" tableType="queryTable" totalsRowShown="0">
  <autoFilter ref="AY1:BI3" xr:uid="{C201E387-9AF3-45B0-AF68-D0A74E3159B0}"/>
  <tableColumns count="11">
    <tableColumn id="1" xr3:uid="{A689C935-6BCC-403E-B5A8-4E5510A9F8BF}" uniqueName="1" name="Topic " queryTableFieldId="1" dataDxfId="16"/>
    <tableColumn id="2" xr3:uid="{4A8B9AE3-48E1-44B6-BEF9-8793A5636E04}" uniqueName="2" name="Question" queryTableFieldId="2" dataDxfId="15"/>
    <tableColumn id="3" xr3:uid="{6B6A327F-D673-417F-91DE-AC305171EDD2}" uniqueName="3" name="Article  " queryTableFieldId="3"/>
    <tableColumn id="4" xr3:uid="{AD40CD8E-49D2-43F8-A2A5-DDFC4AD31209}" uniqueName="4" name="Section" queryTableFieldId="4"/>
    <tableColumn id="5" xr3:uid="{A59E545A-EE5F-4B02-82F8-D85A3144E3B5}" uniqueName="5" name="DORA Text _x000a_(subset of DORA text in relation to the question) " queryTableFieldId="13" dataDxfId="14"/>
    <tableColumn id="6" xr3:uid="{FB96E50B-3F41-46B7-ADF0-D7C1EB47BAD6}" uniqueName="6" name="Requirements for specific companies " queryTableFieldId="6"/>
    <tableColumn id="7" xr3:uid="{5B4AA337-20C7-449A-B5E3-5E82725F9755}" uniqueName="7" name="Do you meet the requirements today?" queryTableFieldId="7" dataDxfId="13"/>
    <tableColumn id="8" xr3:uid="{2FF0893E-9991-4907-8193-6360FE697EAF}" uniqueName="8" name="% requirements meet" queryTableFieldId="8"/>
    <tableColumn id="9" xr3:uid="{6510B3C8-8033-4DAD-AB0C-5BD7C255360D}" uniqueName="9" name="Priority" queryTableFieldId="9"/>
    <tableColumn id="11" xr3:uid="{352005A9-E21F-42DB-B712-D87B55F37C23}" uniqueName="11" name="Effort level _x000a_(How much effort will it take to implement) " queryTableFieldId="11"/>
    <tableColumn id="10" xr3:uid="{E951594A-F59A-47EC-A481-4F2FD96EBE7C}" uniqueName="10" name="Comments/Tasks " queryTableFieldId="1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291E9F-8951-4297-AFFE-F75DB2D73923}" name="Table_Table2__2" displayName="Table_Table2__2" ref="P1:Z3" tableType="queryTable" totalsRowShown="0">
  <autoFilter ref="P1:Z3" xr:uid="{54291E9F-8951-4297-AFFE-F75DB2D73923}"/>
  <tableColumns count="11">
    <tableColumn id="1" xr3:uid="{6A37DD91-7365-49CC-AE4D-6CDC335E597C}" uniqueName="1" name="Topic " queryTableFieldId="1" dataDxfId="12"/>
    <tableColumn id="2" xr3:uid="{4ED893BF-A444-4DF5-A467-C3399BD7D3FE}" uniqueName="2" name="Question" queryTableFieldId="2" dataDxfId="11"/>
    <tableColumn id="3" xr3:uid="{7BA51420-EF70-4F49-9925-2318F3E5DC33}" uniqueName="3" name="Article  " queryTableFieldId="3"/>
    <tableColumn id="4" xr3:uid="{1BA05432-A7F9-4BF9-8F55-3D3A67C816EB}" uniqueName="4" name="Section" queryTableFieldId="4"/>
    <tableColumn id="5" xr3:uid="{9179A00B-1321-4958-AF35-FABC6AE3D689}" uniqueName="5" name="DORA Text _x000a_(subset of DORA text in relation to the question) " queryTableFieldId="5" dataDxfId="10"/>
    <tableColumn id="6" xr3:uid="{487940CC-C3A3-4824-ABCA-E669AF2CECC2}" uniqueName="6" name="Requirements for specific companies " queryTableFieldId="6" dataDxfId="9"/>
    <tableColumn id="7" xr3:uid="{BB77E1B8-5596-48B1-B346-195F0F6633ED}" uniqueName="7" name="Do you meet the requirements today?" queryTableFieldId="7" dataDxfId="8"/>
    <tableColumn id="8" xr3:uid="{B5A407D5-92EA-4C6F-8583-DC226B32C529}" uniqueName="8" name="% requirements meet" queryTableFieldId="8"/>
    <tableColumn id="9" xr3:uid="{9C816645-93A2-4631-A89F-29B2D45D77B9}" uniqueName="9" name="Priority" queryTableFieldId="9"/>
    <tableColumn id="10" xr3:uid="{6EC6799B-3384-4FB0-AC34-5A3BE8D89AD0}" uniqueName="10" name="Effort level _x000a_(How much effort will it take to implement) " queryTableFieldId="10"/>
    <tableColumn id="11" xr3:uid="{D4B8B3D1-19ED-462F-9A7E-43670B4C58DB}" uniqueName="11" name="Comments/Tasks "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F45DCBC-E77D-47CE-AF8E-0B1653DFEE1D}" name="Table_Table3" displayName="Table_Table3" ref="AC1:AM3" tableType="queryTable" totalsRowShown="0">
  <autoFilter ref="AC1:AM3" xr:uid="{0F45DCBC-E77D-47CE-AF8E-0B1653DFEE1D}"/>
  <tableColumns count="11">
    <tableColumn id="1" xr3:uid="{FE1C5A43-4CA5-4512-8489-365AA59A8B31}" uniqueName="1" name="Topic " queryTableFieldId="1" dataDxfId="7"/>
    <tableColumn id="2" xr3:uid="{04C29991-995B-4B83-B778-473AC4808B69}" uniqueName="2" name="Question" queryTableFieldId="2" dataDxfId="6"/>
    <tableColumn id="3" xr3:uid="{C5447B19-EE2B-4920-94AA-B51D05C6535C}" uniqueName="3" name="Article  " queryTableFieldId="3"/>
    <tableColumn id="4" xr3:uid="{D580C2E2-27BA-4601-892B-BE623B00455C}" uniqueName="4" name="Section" queryTableFieldId="4"/>
    <tableColumn id="5" xr3:uid="{26603016-8DFC-4FF0-9756-6442EBC950B9}" uniqueName="5" name="DORA Text _x000a_(subset of DORA text in relation to the question) " queryTableFieldId="5" dataDxfId="5"/>
    <tableColumn id="6" xr3:uid="{50548E0B-B7D2-4BE9-864B-FC4B52493CE9}" uniqueName="6" name="Requirements for specific companies " queryTableFieldId="6" dataDxfId="4"/>
    <tableColumn id="7" xr3:uid="{45484F6E-65BE-40A2-8792-F826D1942C68}" uniqueName="7" name="Do you meet the requirements today?" queryTableFieldId="7" dataDxfId="3"/>
    <tableColumn id="8" xr3:uid="{54166CA2-6B7E-476C-B8E4-1637AAFC25B0}" uniqueName="8" name="% requirements meet" queryTableFieldId="8"/>
    <tableColumn id="9" xr3:uid="{5837C0CE-C42B-4FAB-92C6-044C95BA6807}" uniqueName="9" name="Priority" queryTableFieldId="9"/>
    <tableColumn id="10" xr3:uid="{27EFB823-703C-49C7-8E69-28CDA298F6EE}" uniqueName="10" name="Effort level _x000a_(How much effort will it take to implement) " queryTableFieldId="10"/>
    <tableColumn id="11" xr3:uid="{6AD01747-902B-4EA6-A1F0-7428D7F51DA8}" uniqueName="11" name="Comments/Tasks " queryTableField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C2D3E4-1234-4ABC-9DEF-123456789ABC}" name="Table5" displayName="Table5" ref="B5:L8" totalsRowShown="0" headerRowDxfId="82" dataDxfId="80" headerRowBorderDxfId="81">
  <autoFilter ref="B5:L8" xr:uid="{B2C3D4E5-2345-4ABC-9DEF-123456789ABD}"/>
  <tableColumns count="11">
    <tableColumn id="1" xr3:uid="{B3C4D5E6-3456-4ABC-9DEF-123456789ABE}" name="Topic " dataDxfId="79"/>
    <tableColumn id="2" xr3:uid="{B4C5D6E7-4567-4ABC-9DEF-123456789ABF}" name="Question" dataDxfId="78"/>
    <tableColumn id="3" xr3:uid="{B5C6D7E8-5678-4ABC-9DEF-123456789AC0}" name="Article  " dataDxfId="77"/>
    <tableColumn id="4" xr3:uid="{B6C7D8E9-6789-4ABC-9DEF-123456789AC1}" name="Section" dataDxfId="76"/>
    <tableColumn id="5" xr3:uid="{B7C8D9EA-789A-4ABC-9DEF-123456789AC2}" name="DORA Text _x000a_(subset of DORA text in relation to the question) " dataDxfId="75"/>
    <tableColumn id="10" xr3:uid="{B8C9DAEB-89AB-4ABC-9DEF-123456789AC3}" name="Requirements for specific companies " dataDxfId="74"/>
    <tableColumn id="6" xr3:uid="{B9CADBEC-9ABC-4ABC-9DEF-123456789AC4}" name="Do you meet the requirements today?" dataDxfId="73"/>
    <tableColumn id="7" xr3:uid="{BACBDCED-ABCD-4ABC-9DEF-123456789AC5}" name="% requirements meet" dataDxfId="72"/>
    <tableColumn id="9" xr3:uid="{BBCEDDEE-BCDE-4ABC-9DEF-123456789AC6}" name="Priority" dataDxfId="71"/>
    <tableColumn id="11" xr3:uid="{BCCFDEEF-CDEF-4ABC-9DEF-123456789AC7}" name="Effort level _x000a_(How much effort will it take to implement) " dataDxfId="70"/>
    <tableColumn id="8" xr3:uid="{BDD0DFF0-DEF0-4ABC-9DEF-123456789AC8}" name="Comments/Tasks " dataDxfId="69"/>
  </tableColumns>
  <tableStyleInfo name="TableStyleMedium2" showFirstColumn="0" showLastColumn="0" showRowStripes="0" showColumnStripes="0"/>
</table>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4" dT="2023-03-30T08:37:16.89" personId="{976F90AB-CCEE-4037-BEAA-7D2F74134AB5}" id="{93BFBC6E-CC02-4FE6-8589-C8D17340DCB9}">
    <text>Consider adding conditional formatting (colors) to this column to visually flag compliance status.</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table" Target="../tables/table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4C9EA-FB90-49DF-895F-7FEB8DCF644E}">
  <dimension ref="A1:N23"/>
  <sheetViews>
    <sheetView tabSelected="1" zoomScale="50" zoomScaleNormal="50" workbookViewId="0"/>
  </sheetViews>
  <sheetFormatPr defaultColWidth="9.28515625" defaultRowHeight="15" x14ac:dyDescent="0.25"/>
  <cols>
    <col min="1" max="1" width="37.28515625" style="85" customWidth="1"/>
    <col min="2" max="2" width="206.5703125" style="85" customWidth="1"/>
    <col min="3" max="3" width="30.5703125" style="85" customWidth="1"/>
    <col min="4" max="4" width="31.28515625" style="85" bestFit="1" customWidth="1"/>
    <col min="5" max="5" width="35.42578125" style="85" customWidth="1"/>
    <col min="6" max="6" width="96.85546875" style="85" customWidth="1"/>
    <col min="7" max="7" width="37.5703125" style="85" customWidth="1"/>
    <col min="8" max="8" width="17.28515625" style="85" customWidth="1"/>
    <col min="9" max="9" width="9.28515625" style="85"/>
    <col min="10" max="10" width="46.28515625" style="85" customWidth="1"/>
    <col min="11" max="11" width="42.28515625" style="85" customWidth="1"/>
    <col min="12" max="12" width="158.42578125" style="85" customWidth="1"/>
    <col min="13" max="17" width="8.7109375" style="85"/>
    <col min="18" max="34" width="9.28515625" style="85"/>
    <col min="35" max="35" width="9.28515625" style="85" customWidth="1"/>
    <col min="36" max="36" width="64.7109375" style="85" customWidth="1"/>
    <col min="37" max="16384" width="9.28515625" style="85"/>
  </cols>
  <sheetData>
    <row r="1" spans="1:14" ht="157.5" customHeight="1" thickBot="1" x14ac:dyDescent="0.3">
      <c r="A1" s="88"/>
      <c r="B1" s="89"/>
      <c r="C1" s="89"/>
      <c r="D1" s="89"/>
      <c r="E1" s="89"/>
      <c r="F1" s="89"/>
      <c r="G1" s="89"/>
      <c r="H1" s="89"/>
      <c r="I1" s="89"/>
      <c r="J1" s="87"/>
      <c r="K1" s="87"/>
      <c r="L1" s="87"/>
      <c r="M1" s="87"/>
      <c r="N1" s="87"/>
    </row>
    <row r="2" spans="1:14" ht="42" customHeight="1" x14ac:dyDescent="0.25">
      <c r="C2" s="87"/>
      <c r="E2" s="161" t="s">
        <v>600</v>
      </c>
      <c r="F2" s="162"/>
      <c r="G2" s="87"/>
      <c r="J2" s="87"/>
    </row>
    <row r="3" spans="1:14" ht="26.25" customHeight="1" x14ac:dyDescent="0.25">
      <c r="A3" s="87"/>
      <c r="D3" s="87"/>
      <c r="E3" s="163"/>
      <c r="F3" s="164"/>
      <c r="H3" s="87"/>
    </row>
    <row r="4" spans="1:14" x14ac:dyDescent="0.25">
      <c r="A4" s="87"/>
      <c r="D4" s="87"/>
      <c r="E4" s="145" t="s">
        <v>594</v>
      </c>
      <c r="F4" s="146" t="s">
        <v>598</v>
      </c>
      <c r="H4" s="87"/>
    </row>
    <row r="5" spans="1:14" x14ac:dyDescent="0.25">
      <c r="A5" s="87"/>
      <c r="D5" s="87"/>
      <c r="E5" s="147" t="s">
        <v>595</v>
      </c>
      <c r="F5" s="159"/>
    </row>
    <row r="6" spans="1:14" x14ac:dyDescent="0.25">
      <c r="A6" s="87"/>
      <c r="D6" s="87"/>
      <c r="E6" s="147" t="s">
        <v>596</v>
      </c>
      <c r="F6" s="159"/>
      <c r="G6" s="87"/>
    </row>
    <row r="7" spans="1:14" x14ac:dyDescent="0.25">
      <c r="E7" s="147" t="s">
        <v>597</v>
      </c>
      <c r="F7" s="159"/>
      <c r="G7" s="87"/>
      <c r="H7" s="87"/>
      <c r="I7" s="87"/>
      <c r="J7" s="87"/>
      <c r="M7" s="87"/>
      <c r="N7" s="87"/>
    </row>
    <row r="8" spans="1:14" x14ac:dyDescent="0.25">
      <c r="E8" s="148"/>
      <c r="F8" s="149"/>
      <c r="G8" s="87"/>
      <c r="H8" s="87"/>
      <c r="I8" s="87"/>
      <c r="J8" s="87"/>
      <c r="K8" s="87"/>
      <c r="L8" s="87"/>
      <c r="M8" s="87"/>
      <c r="N8" s="87"/>
    </row>
    <row r="9" spans="1:14" x14ac:dyDescent="0.25">
      <c r="E9" s="148"/>
      <c r="F9" s="149"/>
      <c r="G9" s="87"/>
      <c r="H9" s="87"/>
      <c r="I9" s="87"/>
      <c r="J9" s="87"/>
      <c r="K9" s="87"/>
      <c r="L9" s="87"/>
      <c r="M9" s="87"/>
      <c r="N9" s="87"/>
    </row>
    <row r="10" spans="1:14" x14ac:dyDescent="0.25">
      <c r="E10" s="145" t="s">
        <v>599</v>
      </c>
      <c r="F10" s="146" t="s">
        <v>598</v>
      </c>
      <c r="G10" s="87"/>
      <c r="H10" s="87"/>
      <c r="I10" s="87"/>
      <c r="J10" s="87"/>
      <c r="K10" s="87"/>
      <c r="L10" s="87"/>
      <c r="M10" s="87"/>
      <c r="N10" s="87"/>
    </row>
    <row r="11" spans="1:14" x14ac:dyDescent="0.25">
      <c r="E11" s="147">
        <v>1</v>
      </c>
      <c r="F11" s="159"/>
      <c r="G11" s="87"/>
      <c r="H11" s="87"/>
      <c r="I11" s="87"/>
      <c r="J11" s="87"/>
      <c r="K11" s="87"/>
      <c r="L11" s="87"/>
      <c r="M11" s="87"/>
      <c r="N11" s="87"/>
    </row>
    <row r="12" spans="1:14" x14ac:dyDescent="0.25">
      <c r="E12" s="147">
        <v>2</v>
      </c>
      <c r="F12" s="159"/>
      <c r="G12" s="87"/>
      <c r="H12" s="87"/>
      <c r="I12" s="87"/>
      <c r="J12" s="87"/>
      <c r="K12" s="87"/>
      <c r="L12" s="87"/>
      <c r="M12" s="87"/>
      <c r="N12" s="87"/>
    </row>
    <row r="13" spans="1:14" x14ac:dyDescent="0.25">
      <c r="E13" s="147">
        <v>3</v>
      </c>
      <c r="F13" s="159"/>
      <c r="G13" s="87"/>
      <c r="H13" s="87"/>
      <c r="I13" s="87"/>
      <c r="J13" s="87"/>
      <c r="K13" s="87"/>
      <c r="L13" s="87"/>
      <c r="M13" s="87"/>
      <c r="N13" s="87"/>
    </row>
    <row r="14" spans="1:14" x14ac:dyDescent="0.25">
      <c r="E14" s="147">
        <v>4</v>
      </c>
      <c r="F14" s="159"/>
      <c r="G14" s="87"/>
      <c r="H14" s="87"/>
      <c r="I14" s="87"/>
      <c r="J14" s="87"/>
      <c r="K14" s="87"/>
      <c r="L14" s="87"/>
      <c r="M14" s="87"/>
      <c r="N14" s="87"/>
    </row>
    <row r="15" spans="1:14" ht="15.75" thickBot="1" x14ac:dyDescent="0.3">
      <c r="E15" s="150">
        <v>5</v>
      </c>
      <c r="F15" s="160"/>
      <c r="G15" s="87"/>
      <c r="H15" s="87"/>
      <c r="I15" s="87"/>
      <c r="J15" s="87"/>
      <c r="K15" s="87"/>
      <c r="L15" s="87"/>
      <c r="M15" s="87"/>
      <c r="N15" s="87"/>
    </row>
    <row r="16" spans="1:14" x14ac:dyDescent="0.25">
      <c r="G16" s="87"/>
      <c r="H16" s="87"/>
      <c r="I16" s="87"/>
      <c r="J16" s="87"/>
      <c r="K16" s="87"/>
      <c r="L16" s="87"/>
      <c r="M16" s="87"/>
      <c r="N16" s="87"/>
    </row>
    <row r="17" spans="6:14" x14ac:dyDescent="0.25">
      <c r="G17" s="87"/>
      <c r="H17" s="87"/>
      <c r="I17" s="87"/>
      <c r="J17" s="87"/>
      <c r="K17" s="87"/>
      <c r="L17" s="87"/>
      <c r="M17" s="87"/>
      <c r="N17" s="87"/>
    </row>
    <row r="18" spans="6:14" x14ac:dyDescent="0.25">
      <c r="G18" s="87"/>
      <c r="H18" s="87"/>
      <c r="I18" s="87"/>
      <c r="J18" s="87"/>
      <c r="K18" s="87"/>
      <c r="L18" s="87"/>
      <c r="M18" s="87"/>
      <c r="N18" s="87"/>
    </row>
    <row r="19" spans="6:14" x14ac:dyDescent="0.25">
      <c r="G19" s="87"/>
      <c r="H19" s="87"/>
      <c r="I19" s="87"/>
      <c r="J19" s="87"/>
      <c r="K19" s="87"/>
      <c r="L19" s="87"/>
      <c r="M19" s="87"/>
      <c r="N19" s="87"/>
    </row>
    <row r="20" spans="6:14" x14ac:dyDescent="0.25">
      <c r="G20" s="87"/>
      <c r="H20" s="87"/>
      <c r="I20" s="87"/>
      <c r="J20" s="87"/>
      <c r="K20" s="87"/>
      <c r="L20" s="87"/>
      <c r="M20" s="87"/>
      <c r="N20" s="87"/>
    </row>
    <row r="21" spans="6:14" x14ac:dyDescent="0.25">
      <c r="F21" s="87"/>
      <c r="G21" s="87"/>
      <c r="H21" s="87"/>
      <c r="I21" s="87"/>
      <c r="J21" s="87"/>
      <c r="K21" s="87"/>
      <c r="L21" s="87"/>
      <c r="M21" s="87"/>
      <c r="N21" s="87"/>
    </row>
    <row r="22" spans="6:14" x14ac:dyDescent="0.25">
      <c r="F22" s="87"/>
      <c r="G22" s="87"/>
      <c r="H22" s="87"/>
      <c r="I22" s="87"/>
      <c r="J22" s="87"/>
      <c r="K22" s="87"/>
      <c r="L22" s="87"/>
      <c r="M22" s="87"/>
      <c r="N22" s="87"/>
    </row>
    <row r="23" spans="6:14" x14ac:dyDescent="0.25">
      <c r="F23" s="87"/>
      <c r="G23" s="87"/>
      <c r="H23" s="87"/>
      <c r="I23" s="87"/>
      <c r="J23" s="87"/>
      <c r="K23" s="87"/>
      <c r="L23" s="87"/>
      <c r="M23" s="87"/>
      <c r="N23" s="87"/>
    </row>
  </sheetData>
  <mergeCells count="1">
    <mergeCell ref="E2:F3"/>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53B42-8511-47B1-B7BB-73925798092C}">
  <dimension ref="A1:U14"/>
  <sheetViews>
    <sheetView showGridLines="0" zoomScale="50" zoomScaleNormal="50" workbookViewId="0"/>
  </sheetViews>
  <sheetFormatPr defaultColWidth="9.28515625" defaultRowHeight="15" x14ac:dyDescent="0.25"/>
  <cols>
    <col min="1" max="1" width="8.7109375" style="85" bestFit="1" customWidth="1"/>
    <col min="2" max="2" width="16.7109375" style="85" bestFit="1" customWidth="1"/>
    <col min="3" max="3" width="21.42578125" style="85" bestFit="1" customWidth="1"/>
    <col min="4" max="4" width="18.28515625" style="85" bestFit="1" customWidth="1"/>
    <col min="5" max="5" width="19.42578125" style="85" bestFit="1" customWidth="1"/>
    <col min="6" max="6" width="74.42578125" style="85" bestFit="1" customWidth="1"/>
    <col min="7" max="7" width="59.140625" style="85" bestFit="1" customWidth="1"/>
    <col min="8" max="8" width="60.85546875" style="85" bestFit="1" customWidth="1"/>
    <col min="9" max="9" width="38.5703125" style="85" bestFit="1" customWidth="1"/>
    <col min="10" max="10" width="19.42578125" style="85" bestFit="1" customWidth="1"/>
    <col min="11" max="11" width="68.7109375" style="85" bestFit="1" customWidth="1"/>
    <col min="12" max="12" width="32.85546875" style="85" bestFit="1" customWidth="1"/>
    <col min="13" max="13" width="28.7109375" style="85" bestFit="1" customWidth="1"/>
    <col min="14" max="14" width="56.7109375" style="85" bestFit="1" customWidth="1"/>
    <col min="15" max="15" width="80.7109375" style="85" bestFit="1" customWidth="1"/>
    <col min="16" max="16" width="16.42578125" style="85" bestFit="1" customWidth="1"/>
    <col min="17" max="17" width="17.28515625" style="85" bestFit="1" customWidth="1"/>
    <col min="18" max="18" width="80.7109375" style="85" bestFit="1" customWidth="1"/>
    <col min="19" max="19" width="55.5703125" style="85" bestFit="1" customWidth="1"/>
    <col min="20" max="20" width="57.28515625" style="85" bestFit="1" customWidth="1"/>
    <col min="21" max="21" width="35.7109375" style="85" bestFit="1" customWidth="1"/>
    <col min="22" max="22" width="17.28515625" style="85" bestFit="1" customWidth="1"/>
    <col min="23" max="24" width="31.28515625" style="85" bestFit="1" customWidth="1"/>
    <col min="25" max="25" width="30.5703125" style="85" bestFit="1" customWidth="1"/>
    <col min="26" max="26" width="26.42578125" style="85" bestFit="1" customWidth="1"/>
    <col min="27" max="27" width="24.7109375" style="85" customWidth="1"/>
    <col min="28" max="16384" width="9.28515625" style="85"/>
  </cols>
  <sheetData>
    <row r="1" spans="1:21" ht="38.25" customHeight="1" x14ac:dyDescent="0.3">
      <c r="A1" s="90"/>
      <c r="B1" s="90"/>
      <c r="C1" s="90"/>
      <c r="D1" s="90"/>
      <c r="E1" s="90"/>
      <c r="F1" s="90"/>
      <c r="G1" s="90"/>
      <c r="H1" s="90"/>
      <c r="I1" s="90"/>
      <c r="J1" s="90"/>
      <c r="K1" s="90"/>
      <c r="L1" s="90"/>
      <c r="M1" s="90"/>
      <c r="N1" s="90"/>
      <c r="O1" s="90"/>
      <c r="P1" s="90"/>
      <c r="Q1" s="90"/>
      <c r="R1" s="90"/>
      <c r="S1" s="90"/>
      <c r="T1" s="90"/>
      <c r="U1" s="90"/>
    </row>
    <row r="2" spans="1:21" ht="93.75" customHeight="1" x14ac:dyDescent="0.3">
      <c r="A2" s="90"/>
      <c r="B2" s="90"/>
      <c r="C2" s="90"/>
      <c r="D2" s="90"/>
      <c r="E2" s="90"/>
      <c r="F2" s="90"/>
      <c r="G2" s="90"/>
      <c r="H2" s="90"/>
      <c r="I2" s="90"/>
      <c r="J2" s="90"/>
      <c r="K2" s="90"/>
      <c r="L2" s="90"/>
      <c r="M2" s="90"/>
      <c r="N2" s="90"/>
      <c r="O2" s="90"/>
      <c r="P2" s="90"/>
      <c r="Q2" s="90"/>
      <c r="R2" s="90"/>
      <c r="S2" s="90"/>
      <c r="T2" s="90"/>
      <c r="U2" s="90"/>
    </row>
    <row r="3" spans="1:21" ht="80.25" customHeight="1" x14ac:dyDescent="0.3">
      <c r="A3" s="90"/>
      <c r="B3" s="90"/>
      <c r="C3" s="90"/>
      <c r="D3" s="90"/>
      <c r="E3" s="90"/>
      <c r="F3" s="90"/>
      <c r="G3" s="90"/>
      <c r="H3" s="90"/>
      <c r="I3" s="90"/>
      <c r="J3" s="90"/>
      <c r="K3" s="90"/>
      <c r="L3" s="90"/>
      <c r="M3" s="90"/>
      <c r="N3" s="90"/>
      <c r="O3" s="90"/>
      <c r="P3" s="90"/>
      <c r="Q3" s="90"/>
      <c r="R3" s="90"/>
      <c r="S3" s="90"/>
      <c r="T3" s="90"/>
      <c r="U3" s="90"/>
    </row>
    <row r="5" spans="1:21" ht="26.25" x14ac:dyDescent="0.4">
      <c r="T5" s="86"/>
    </row>
    <row r="13" spans="1:21" ht="42" x14ac:dyDescent="0.25">
      <c r="B13" s="151" t="s">
        <v>106</v>
      </c>
      <c r="C13" s="152" t="s">
        <v>351</v>
      </c>
      <c r="D13" s="152" t="s">
        <v>95</v>
      </c>
      <c r="E13" s="152" t="s">
        <v>96</v>
      </c>
      <c r="F13" s="152" t="s">
        <v>534</v>
      </c>
      <c r="G13" s="152" t="s">
        <v>387</v>
      </c>
      <c r="H13" s="152" t="s">
        <v>353</v>
      </c>
      <c r="I13" s="152" t="s">
        <v>354</v>
      </c>
      <c r="J13" s="152" t="s">
        <v>283</v>
      </c>
      <c r="K13" s="152" t="s">
        <v>398</v>
      </c>
      <c r="L13" s="153" t="s">
        <v>355</v>
      </c>
    </row>
    <row r="14" spans="1:21" ht="21" x14ac:dyDescent="0.35">
      <c r="B14" s="154"/>
      <c r="C14" s="154"/>
      <c r="D14" s="154"/>
      <c r="E14" s="154"/>
      <c r="F14" s="154"/>
      <c r="G14" s="154"/>
      <c r="H14" s="105"/>
      <c r="I14" s="154"/>
      <c r="J14" s="67"/>
      <c r="K14" s="120"/>
      <c r="L14" s="154"/>
    </row>
  </sheetData>
  <sheetProtection sheet="1" objects="1" scenarios="1"/>
  <conditionalFormatting sqref="J14">
    <cfRule type="colorScale" priority="4">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5" operator="containsText" id="{EB6AF42A-DBE4-4690-95C2-D1430F77EA23}">
            <xm:f>NOT(ISERROR(SEARCH(Sheet2!$B$5,H14)))</xm:f>
            <xm:f>Sheet2!$B$5</xm:f>
            <x14:dxf>
              <font>
                <color theme="0"/>
              </font>
              <fill>
                <patternFill>
                  <bgColor rgb="FFF8696B"/>
                </patternFill>
              </fill>
            </x14:dxf>
          </x14:cfRule>
          <x14:cfRule type="containsText" priority="6" operator="containsText" id="{EA9CDC05-D726-4816-A041-A23167D99B78}">
            <xm:f>NOT(ISERROR(SEARCH(Sheet2!$B$4,H14)))</xm:f>
            <xm:f>Sheet2!$B$4</xm:f>
            <x14:dxf>
              <fill>
                <patternFill>
                  <bgColor rgb="FFFFEB84"/>
                </patternFill>
              </fill>
            </x14:dxf>
          </x14:cfRule>
          <x14:cfRule type="containsText" priority="7" operator="containsText" id="{D731753D-D1AD-40FD-955B-5F4D491D3F87}">
            <xm:f>NOT(ISERROR(SEARCH(Sheet2!$B$3,H14)))</xm:f>
            <xm:f>Sheet2!$B$3</xm:f>
            <x14:dxf>
              <fill>
                <patternFill>
                  <bgColor rgb="FF63BE7B"/>
                </patternFill>
              </fill>
            </x14:dxf>
          </x14:cfRule>
          <xm:sqref>H14</xm:sqref>
        </x14:conditionalFormatting>
        <x14:conditionalFormatting xmlns:xm="http://schemas.microsoft.com/office/excel/2006/main">
          <x14:cfRule type="containsText" priority="1" operator="containsText" id="{1FD7B6CC-729A-4D35-A1F0-1E6F6A3214B2}">
            <xm:f>NOT(ISERROR(SEARCH(Sheet2!$F$3,K14)))</xm:f>
            <xm:f>Sheet2!$F$3</xm:f>
            <x14:dxf>
              <fill>
                <patternFill>
                  <bgColor rgb="FF63BE7B"/>
                </patternFill>
              </fill>
            </x14:dxf>
          </x14:cfRule>
          <x14:cfRule type="containsText" priority="2" operator="containsText" id="{224CA9CD-26E5-43C9-AC1E-462E91EAD267}">
            <xm:f>NOT(ISERROR(SEARCH(Sheet2!$F$4,K14)))</xm:f>
            <xm:f>Sheet2!$F$4</xm:f>
            <x14:dxf>
              <fill>
                <patternFill>
                  <bgColor rgb="FFFFEB84"/>
                </patternFill>
              </fill>
            </x14:dxf>
          </x14:cfRule>
          <x14:cfRule type="containsText" priority="3" operator="containsText" id="{35F25B89-7305-4F9C-A489-77F935823E64}">
            <xm:f>NOT(ISERROR(SEARCH(Sheet2!$F$5,K14)))</xm:f>
            <xm:f>Sheet2!$F$5</xm:f>
            <x14:dxf>
              <font>
                <color theme="0"/>
              </font>
              <fill>
                <patternFill>
                  <bgColor rgb="FFF8696B"/>
                </patternFill>
              </fill>
            </x14:dxf>
          </x14:cfRule>
          <xm:sqref>K14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B1E5-86B2-4A76-9E3E-C4E3B59F93E2}">
  <dimension ref="C1:J44"/>
  <sheetViews>
    <sheetView showGridLines="0" zoomScale="50" zoomScaleNormal="50" workbookViewId="0"/>
  </sheetViews>
  <sheetFormatPr defaultColWidth="9.28515625" defaultRowHeight="15" x14ac:dyDescent="0.25"/>
  <cols>
    <col min="1" max="2" width="9.28515625" style="69"/>
    <col min="3" max="3" width="93" style="69" bestFit="1" customWidth="1"/>
    <col min="4" max="4" width="34.7109375" style="69" bestFit="1" customWidth="1"/>
    <col min="5" max="5" width="29.28515625" style="69" bestFit="1" customWidth="1"/>
    <col min="6" max="6" width="22" style="69" bestFit="1" customWidth="1"/>
    <col min="7" max="7" width="22" style="69" customWidth="1"/>
    <col min="8" max="8" width="51.28515625" style="69" customWidth="1"/>
    <col min="9" max="9" width="26.7109375" style="69" customWidth="1"/>
    <col min="10" max="10" width="19.28515625" style="69" customWidth="1"/>
    <col min="11" max="12" width="11" style="69" customWidth="1"/>
    <col min="13" max="13" width="12" style="69" customWidth="1"/>
    <col min="14" max="16384" width="9.28515625" style="69"/>
  </cols>
  <sheetData>
    <row r="1" spans="3:10" ht="67.5" customHeight="1" x14ac:dyDescent="0.25"/>
    <row r="3" spans="3:10" ht="23.25" x14ac:dyDescent="0.35">
      <c r="C3" s="165" t="s">
        <v>360</v>
      </c>
      <c r="D3" s="165"/>
      <c r="E3" s="165"/>
      <c r="F3" s="165"/>
      <c r="G3" s="165"/>
      <c r="H3" s="165"/>
      <c r="I3" s="165"/>
      <c r="J3" s="165"/>
    </row>
    <row r="6" spans="3:10" ht="81" customHeight="1" x14ac:dyDescent="0.25">
      <c r="C6" s="125" t="s">
        <v>568</v>
      </c>
      <c r="D6" s="125" t="s">
        <v>353</v>
      </c>
      <c r="E6" s="125" t="s">
        <v>356</v>
      </c>
      <c r="F6" s="155" t="s">
        <v>283</v>
      </c>
      <c r="G6" s="156" t="s">
        <v>545</v>
      </c>
      <c r="H6" s="125" t="s">
        <v>357</v>
      </c>
      <c r="I6" s="125" t="s">
        <v>358</v>
      </c>
      <c r="J6" s="125" t="s">
        <v>359</v>
      </c>
    </row>
    <row r="7" spans="3:10" ht="21" x14ac:dyDescent="0.35">
      <c r="C7" s="136"/>
      <c r="D7" s="141" t="str">
        <f>+IFERROR(VLOOKUP(Table11[[#This Row],[Question 
"The drop-down-list contains all questions from the Overall results table meaning all questions answered with either "no" or "partly"]],'Overall results'!$C$14:$L$300,6,FALSE),"")</f>
        <v/>
      </c>
      <c r="E7" s="140" t="str">
        <f>+IFERROR(VLOOKUP(Table11[[#This Row],[Question 
"The drop-down-list contains all questions from the Overall results table meaning all questions answered with either "no" or "partly"]],'Overall results'!$C$14:$L$300,7,FALSE),"")</f>
        <v/>
      </c>
      <c r="F7" s="157" t="str">
        <f>+IFERROR(VLOOKUP(Table11[[#This Row],[Question 
"The drop-down-list contains all questions from the Overall results table meaning all questions answered with either "no" or "partly"]],'Overall results'!$C$14:$L$300,8,FALSE),"")</f>
        <v/>
      </c>
      <c r="G7" s="158" t="str">
        <f>+IFERROR(VLOOKUP(Table11[[#This Row],[Question 
"The drop-down-list contains all questions from the Overall results table meaning all questions answered with either "no" or "partly"]],'Overall results'!$C$14:$L$300,9,FALSE),"")</f>
        <v/>
      </c>
      <c r="H7" s="136"/>
      <c r="I7" s="136"/>
      <c r="J7" s="137"/>
    </row>
    <row r="8" spans="3:10" ht="21" x14ac:dyDescent="0.35">
      <c r="C8" s="138"/>
      <c r="D8" s="141" t="str">
        <f>+IFERROR(VLOOKUP(Table11[[#This Row],[Question 
"The drop-down-list contains all questions from the Overall results table meaning all questions answered with either "no" or "partly"]],'Overall results'!$C$14:$L$300,6,FALSE),"")</f>
        <v/>
      </c>
      <c r="E8" s="141" t="str">
        <f>+IFERROR(VLOOKUP(Table11[[#This Row],[Question 
"The drop-down-list contains all questions from the Overall results table meaning all questions answered with either "no" or "partly"]],'Overall results'!$C$14:$L$300,7,FALSE),"")</f>
        <v/>
      </c>
      <c r="F8" s="157" t="str">
        <f>+IFERROR(VLOOKUP(Table11[[#This Row],[Question 
"The drop-down-list contains all questions from the Overall results table meaning all questions answered with either "no" or "partly"]],'Overall results'!$C$14:$L$300,8,FALSE),"")</f>
        <v/>
      </c>
      <c r="G8" s="158" t="str">
        <f>+IFERROR(VLOOKUP(Table11[[#This Row],[Question 
"The drop-down-list contains all questions from the Overall results table meaning all questions answered with either "no" or "partly"]],'Overall results'!$C$14:$L$300,9,FALSE),"")</f>
        <v/>
      </c>
      <c r="H8" s="138"/>
      <c r="I8" s="138"/>
      <c r="J8" s="139"/>
    </row>
    <row r="9" spans="3:10" ht="21" x14ac:dyDescent="0.35">
      <c r="C9" s="138"/>
      <c r="D9" s="141" t="str">
        <f>+IFERROR(VLOOKUP(Table11[[#This Row],[Question 
"The drop-down-list contains all questions from the Overall results table meaning all questions answered with either "no" or "partly"]],'Overall results'!$C$14:$L$300,6,FALSE),"")</f>
        <v/>
      </c>
      <c r="E9" s="141" t="str">
        <f>+IFERROR(VLOOKUP(Table11[[#This Row],[Question 
"The drop-down-list contains all questions from the Overall results table meaning all questions answered with either "no" or "partly"]],'Overall results'!$C$14:$L$300,7,FALSE),"")</f>
        <v/>
      </c>
      <c r="F9" s="157" t="str">
        <f>+IFERROR(VLOOKUP(Table11[[#This Row],[Question 
"The drop-down-list contains all questions from the Overall results table meaning all questions answered with either "no" or "partly"]],'Overall results'!$C$14:$L$300,8,FALSE),"")</f>
        <v/>
      </c>
      <c r="G9" s="158" t="str">
        <f>+IFERROR(VLOOKUP(Table11[[#This Row],[Question 
"The drop-down-list contains all questions from the Overall results table meaning all questions answered with either "no" or "partly"]],'Overall results'!$C$14:$L$300,9,FALSE),"")</f>
        <v/>
      </c>
      <c r="H9" s="138"/>
      <c r="I9" s="138"/>
      <c r="J9" s="139"/>
    </row>
    <row r="10" spans="3:10" ht="21" x14ac:dyDescent="0.35">
      <c r="C10" s="138"/>
      <c r="D10" s="141" t="str">
        <f>+IFERROR(VLOOKUP(Table11[[#This Row],[Question 
"The drop-down-list contains all questions from the Overall results table meaning all questions answered with either "no" or "partly"]],'Overall results'!$C$14:$L$300,6,FALSE),"")</f>
        <v/>
      </c>
      <c r="E10" s="141" t="str">
        <f>+IFERROR(VLOOKUP(Table11[[#This Row],[Question 
"The drop-down-list contains all questions from the Overall results table meaning all questions answered with either "no" or "partly"]],'Overall results'!$C$14:$L$300,7,FALSE),"")</f>
        <v/>
      </c>
      <c r="F10" s="157" t="str">
        <f>+IFERROR(VLOOKUP(Table11[[#This Row],[Question 
"The drop-down-list contains all questions from the Overall results table meaning all questions answered with either "no" or "partly"]],'Overall results'!$C$14:$L$300,8,FALSE),"")</f>
        <v/>
      </c>
      <c r="G10" s="158" t="str">
        <f>+IFERROR(VLOOKUP(Table11[[#This Row],[Question 
"The drop-down-list contains all questions from the Overall results table meaning all questions answered with either "no" or "partly"]],'Overall results'!$C$14:$L$300,9,FALSE),"")</f>
        <v/>
      </c>
      <c r="H10" s="138"/>
      <c r="I10" s="138"/>
      <c r="J10" s="139"/>
    </row>
    <row r="11" spans="3:10" ht="21" x14ac:dyDescent="0.35">
      <c r="C11" s="138"/>
      <c r="D11" s="141" t="str">
        <f>+IFERROR(VLOOKUP(Table11[[#This Row],[Question 
"The drop-down-list contains all questions from the Overall results table meaning all questions answered with either "no" or "partly"]],'Overall results'!$C$14:$L$300,6,FALSE),"")</f>
        <v/>
      </c>
      <c r="E11" s="141" t="str">
        <f>+IFERROR(VLOOKUP(Table11[[#This Row],[Question 
"The drop-down-list contains all questions from the Overall results table meaning all questions answered with either "no" or "partly"]],'Overall results'!$C$14:$L$300,7,FALSE),"")</f>
        <v/>
      </c>
      <c r="F11" s="157" t="str">
        <f>+IFERROR(VLOOKUP(Table11[[#This Row],[Question 
"The drop-down-list contains all questions from the Overall results table meaning all questions answered with either "no" or "partly"]],'Overall results'!$C$14:$L$300,8,FALSE),"")</f>
        <v/>
      </c>
      <c r="G11" s="158" t="str">
        <f>+IFERROR(VLOOKUP(Table11[[#This Row],[Question 
"The drop-down-list contains all questions from the Overall results table meaning all questions answered with either "no" or "partly"]],'Overall results'!$C$14:$L$300,9,FALSE),"")</f>
        <v/>
      </c>
      <c r="H11" s="138"/>
      <c r="I11" s="138"/>
      <c r="J11" s="138"/>
    </row>
    <row r="12" spans="3:10" ht="21" x14ac:dyDescent="0.35">
      <c r="C12" s="138"/>
      <c r="D12" s="141" t="str">
        <f>+IFERROR(VLOOKUP(Table11[[#This Row],[Question 
"The drop-down-list contains all questions from the Overall results table meaning all questions answered with either "no" or "partly"]],'Overall results'!$C$14:$L$300,6,FALSE),"")</f>
        <v/>
      </c>
      <c r="E12" s="141" t="str">
        <f>+IFERROR(VLOOKUP(Table11[[#This Row],[Question 
"The drop-down-list contains all questions from the Overall results table meaning all questions answered with either "no" or "partly"]],'Overall results'!$C$14:$L$300,7,FALSE),"")</f>
        <v/>
      </c>
      <c r="F12" s="157" t="str">
        <f>+IFERROR(VLOOKUP(Table11[[#This Row],[Question 
"The drop-down-list contains all questions from the Overall results table meaning all questions answered with either "no" or "partly"]],'Overall results'!$C$14:$L$300,8,FALSE),"")</f>
        <v/>
      </c>
      <c r="G12" s="158" t="str">
        <f>+IFERROR(VLOOKUP(Table11[[#This Row],[Question 
"The drop-down-list contains all questions from the Overall results table meaning all questions answered with either "no" or "partly"]],'Overall results'!$C$14:$L$300,9,FALSE),"")</f>
        <v/>
      </c>
      <c r="H12" s="138"/>
      <c r="I12" s="138"/>
      <c r="J12" s="138"/>
    </row>
    <row r="13" spans="3:10" ht="21" x14ac:dyDescent="0.35">
      <c r="C13" s="138"/>
      <c r="D13" s="141" t="str">
        <f>+IFERROR(VLOOKUP(Table11[[#This Row],[Question 
"The drop-down-list contains all questions from the Overall results table meaning all questions answered with either "no" or "partly"]],'Overall results'!$C$14:$L$300,6,FALSE),"")</f>
        <v/>
      </c>
      <c r="E13" s="141" t="str">
        <f>+IFERROR(VLOOKUP(Table11[[#This Row],[Question 
"The drop-down-list contains all questions from the Overall results table meaning all questions answered with either "no" or "partly"]],'Overall results'!$C$14:$L$300,7,FALSE),"")</f>
        <v/>
      </c>
      <c r="F13" s="157" t="str">
        <f>+IFERROR(VLOOKUP(Table11[[#This Row],[Question 
"The drop-down-list contains all questions from the Overall results table meaning all questions answered with either "no" or "partly"]],'Overall results'!$C$14:$L$300,8,FALSE),"")</f>
        <v/>
      </c>
      <c r="G13" s="158" t="str">
        <f>+IFERROR(VLOOKUP(Table11[[#This Row],[Question 
"The drop-down-list contains all questions from the Overall results table meaning all questions answered with either "no" or "partly"]],'Overall results'!$C$14:$L$300,9,FALSE),"")</f>
        <v/>
      </c>
      <c r="H13" s="138"/>
      <c r="I13" s="138"/>
      <c r="J13" s="138"/>
    </row>
    <row r="14" spans="3:10" ht="21" x14ac:dyDescent="0.35">
      <c r="C14" s="138"/>
      <c r="D14" s="141" t="str">
        <f>+IFERROR(VLOOKUP(Table11[[#This Row],[Question 
"The drop-down-list contains all questions from the Overall results table meaning all questions answered with either "no" or "partly"]],'Overall results'!$C$14:$L$300,6,FALSE),"")</f>
        <v/>
      </c>
      <c r="E14" s="141" t="str">
        <f>+IFERROR(VLOOKUP(Table11[[#This Row],[Question 
"The drop-down-list contains all questions from the Overall results table meaning all questions answered with either "no" or "partly"]],'Overall results'!$C$14:$L$300,7,FALSE),"")</f>
        <v/>
      </c>
      <c r="F14" s="157" t="str">
        <f>+IFERROR(VLOOKUP(Table11[[#This Row],[Question 
"The drop-down-list contains all questions from the Overall results table meaning all questions answered with either "no" or "partly"]],'Overall results'!$C$14:$L$300,8,FALSE),"")</f>
        <v/>
      </c>
      <c r="G14" s="158" t="str">
        <f>+IFERROR(VLOOKUP(Table11[[#This Row],[Question 
"The drop-down-list contains all questions from the Overall results table meaning all questions answered with either "no" or "partly"]],'Overall results'!$C$14:$L$300,9,FALSE),"")</f>
        <v/>
      </c>
      <c r="H14" s="138"/>
      <c r="I14" s="138"/>
      <c r="J14" s="138"/>
    </row>
    <row r="15" spans="3:10" ht="21" x14ac:dyDescent="0.35">
      <c r="C15" s="138"/>
      <c r="D15" s="141" t="str">
        <f>+IFERROR(VLOOKUP(Table11[[#This Row],[Question 
"The drop-down-list contains all questions from the Overall results table meaning all questions answered with either "no" or "partly"]],'Overall results'!$C$14:$L$300,6,FALSE),"")</f>
        <v/>
      </c>
      <c r="E15" s="141" t="str">
        <f>+IFERROR(VLOOKUP(Table11[[#This Row],[Question 
"The drop-down-list contains all questions from the Overall results table meaning all questions answered with either "no" or "partly"]],'Overall results'!$C$14:$L$300,7,FALSE),"")</f>
        <v/>
      </c>
      <c r="F15" s="157" t="str">
        <f>+IFERROR(VLOOKUP(Table11[[#This Row],[Question 
"The drop-down-list contains all questions from the Overall results table meaning all questions answered with either "no" or "partly"]],'Overall results'!$C$14:$L$300,8,FALSE),"")</f>
        <v/>
      </c>
      <c r="G15" s="158" t="str">
        <f>+IFERROR(VLOOKUP(Table11[[#This Row],[Question 
"The drop-down-list contains all questions from the Overall results table meaning all questions answered with either "no" or "partly"]],'Overall results'!$C$14:$L$300,9,FALSE),"")</f>
        <v/>
      </c>
      <c r="H15" s="138"/>
      <c r="I15" s="138"/>
      <c r="J15" s="138"/>
    </row>
    <row r="16" spans="3:10" ht="21" x14ac:dyDescent="0.35">
      <c r="C16" s="138"/>
      <c r="D16" s="141" t="str">
        <f>+IFERROR(VLOOKUP(Table11[[#This Row],[Question 
"The drop-down-list contains all questions from the Overall results table meaning all questions answered with either "no" or "partly"]],'Overall results'!$C$14:$L$300,6,FALSE),"")</f>
        <v/>
      </c>
      <c r="E16" s="141" t="str">
        <f>+IFERROR(VLOOKUP(Table11[[#This Row],[Question 
"The drop-down-list contains all questions from the Overall results table meaning all questions answered with either "no" or "partly"]],'Overall results'!$C$14:$L$300,7,FALSE),"")</f>
        <v/>
      </c>
      <c r="F16" s="157" t="str">
        <f>+IFERROR(VLOOKUP(Table11[[#This Row],[Question 
"The drop-down-list contains all questions from the Overall results table meaning all questions answered with either "no" or "partly"]],'Overall results'!$C$14:$L$300,8,FALSE),"")</f>
        <v/>
      </c>
      <c r="G16" s="158" t="str">
        <f>+IFERROR(VLOOKUP(Table11[[#This Row],[Question 
"The drop-down-list contains all questions from the Overall results table meaning all questions answered with either "no" or "partly"]],'Overall results'!$C$14:$L$300,9,FALSE),"")</f>
        <v/>
      </c>
      <c r="H16" s="138"/>
      <c r="I16" s="138"/>
      <c r="J16" s="138"/>
    </row>
    <row r="17" spans="3:10" ht="21" x14ac:dyDescent="0.35">
      <c r="C17" s="138"/>
      <c r="D17" s="141" t="str">
        <f>+IFERROR(VLOOKUP(Table11[[#This Row],[Question 
"The drop-down-list contains all questions from the Overall results table meaning all questions answered with either "no" or "partly"]],'Overall results'!$C$14:$L$300,6,FALSE),"")</f>
        <v/>
      </c>
      <c r="E17" s="141" t="str">
        <f>+IFERROR(VLOOKUP(Table11[[#This Row],[Question 
"The drop-down-list contains all questions from the Overall results table meaning all questions answered with either "no" or "partly"]],'Overall results'!$C$14:$L$300,7,FALSE),"")</f>
        <v/>
      </c>
      <c r="F17" s="157" t="str">
        <f>+IFERROR(VLOOKUP(Table11[[#This Row],[Question 
"The drop-down-list contains all questions from the Overall results table meaning all questions answered with either "no" or "partly"]],'Overall results'!$C$14:$L$300,8,FALSE),"")</f>
        <v/>
      </c>
      <c r="G17" s="158" t="str">
        <f>+IFERROR(VLOOKUP(Table11[[#This Row],[Question 
"The drop-down-list contains all questions from the Overall results table meaning all questions answered with either "no" or "partly"]],'Overall results'!$C$14:$L$300,9,FALSE),"")</f>
        <v/>
      </c>
      <c r="H17" s="138"/>
      <c r="I17" s="138"/>
      <c r="J17" s="138"/>
    </row>
    <row r="18" spans="3:10" ht="21" x14ac:dyDescent="0.35">
      <c r="C18" s="138"/>
      <c r="D18" s="141" t="str">
        <f>+IFERROR(VLOOKUP(Table11[[#This Row],[Question 
"The drop-down-list contains all questions from the Overall results table meaning all questions answered with either "no" or "partly"]],'Overall results'!$C$14:$L$300,6,FALSE),"")</f>
        <v/>
      </c>
      <c r="E18" s="141" t="str">
        <f>+IFERROR(VLOOKUP(Table11[[#This Row],[Question 
"The drop-down-list contains all questions from the Overall results table meaning all questions answered with either "no" or "partly"]],'Overall results'!$C$14:$L$300,7,FALSE),"")</f>
        <v/>
      </c>
      <c r="F18" s="157" t="str">
        <f>+IFERROR(VLOOKUP(Table11[[#This Row],[Question 
"The drop-down-list contains all questions from the Overall results table meaning all questions answered with either "no" or "partly"]],'Overall results'!$C$14:$L$300,8,FALSE),"")</f>
        <v/>
      </c>
      <c r="G18" s="158" t="str">
        <f>+IFERROR(VLOOKUP(Table11[[#This Row],[Question 
"The drop-down-list contains all questions from the Overall results table meaning all questions answered with either "no" or "partly"]],'Overall results'!$C$14:$L$300,9,FALSE),"")</f>
        <v/>
      </c>
      <c r="H18" s="138"/>
      <c r="I18" s="138"/>
      <c r="J18" s="138"/>
    </row>
    <row r="19" spans="3:10" ht="21" x14ac:dyDescent="0.35">
      <c r="C19" s="138"/>
      <c r="D19" s="141" t="str">
        <f>+IFERROR(VLOOKUP(Table11[[#This Row],[Question 
"The drop-down-list contains all questions from the Overall results table meaning all questions answered with either "no" or "partly"]],'Overall results'!$C$14:$L$300,6,FALSE),"")</f>
        <v/>
      </c>
      <c r="E19" s="141" t="str">
        <f>+IFERROR(VLOOKUP(Table11[[#This Row],[Question 
"The drop-down-list contains all questions from the Overall results table meaning all questions answered with either "no" or "partly"]],'Overall results'!$C$14:$L$300,7,FALSE),"")</f>
        <v/>
      </c>
      <c r="F19" s="157" t="str">
        <f>+IFERROR(VLOOKUP(Table11[[#This Row],[Question 
"The drop-down-list contains all questions from the Overall results table meaning all questions answered with either "no" or "partly"]],'Overall results'!$C$14:$L$300,8,FALSE),"")</f>
        <v/>
      </c>
      <c r="G19" s="158" t="str">
        <f>+IFERROR(VLOOKUP(Table11[[#This Row],[Question 
"The drop-down-list contains all questions from the Overall results table meaning all questions answered with either "no" or "partly"]],'Overall results'!$C$14:$L$300,9,FALSE),"")</f>
        <v/>
      </c>
      <c r="H19" s="138"/>
      <c r="I19" s="138"/>
      <c r="J19" s="138"/>
    </row>
    <row r="20" spans="3:10" ht="21" x14ac:dyDescent="0.35">
      <c r="C20" s="138"/>
      <c r="D20" s="141" t="str">
        <f>+IFERROR(VLOOKUP(Table11[[#This Row],[Question 
"The drop-down-list contains all questions from the Overall results table meaning all questions answered with either "no" or "partly"]],'Overall results'!$C$14:$L$300,6,FALSE),"")</f>
        <v/>
      </c>
      <c r="E20" s="141" t="str">
        <f>+IFERROR(VLOOKUP(Table11[[#This Row],[Question 
"The drop-down-list contains all questions from the Overall results table meaning all questions answered with either "no" or "partly"]],'Overall results'!$C$14:$L$300,7,FALSE),"")</f>
        <v/>
      </c>
      <c r="F20" s="157" t="str">
        <f>+IFERROR(VLOOKUP(Table11[[#This Row],[Question 
"The drop-down-list contains all questions from the Overall results table meaning all questions answered with either "no" or "partly"]],'Overall results'!$C$14:$L$300,8,FALSE),"")</f>
        <v/>
      </c>
      <c r="G20" s="158" t="str">
        <f>+IFERROR(VLOOKUP(Table11[[#This Row],[Question 
"The drop-down-list contains all questions from the Overall results table meaning all questions answered with either "no" or "partly"]],'Overall results'!$C$14:$L$300,9,FALSE),"")</f>
        <v/>
      </c>
      <c r="H20" s="138"/>
      <c r="I20" s="138"/>
      <c r="J20" s="138"/>
    </row>
    <row r="21" spans="3:10" ht="21" x14ac:dyDescent="0.35">
      <c r="C21" s="138"/>
      <c r="D21" s="141" t="str">
        <f>+IFERROR(VLOOKUP(Table11[[#This Row],[Question 
"The drop-down-list contains all questions from the Overall results table meaning all questions answered with either "no" or "partly"]],'Overall results'!$C$14:$L$300,6,FALSE),"")</f>
        <v/>
      </c>
      <c r="E21" s="141" t="str">
        <f>+IFERROR(VLOOKUP(Table11[[#This Row],[Question 
"The drop-down-list contains all questions from the Overall results table meaning all questions answered with either "no" or "partly"]],'Overall results'!$C$14:$L$300,7,FALSE),"")</f>
        <v/>
      </c>
      <c r="F21" s="157" t="str">
        <f>+IFERROR(VLOOKUP(Table11[[#This Row],[Question 
"The drop-down-list contains all questions from the Overall results table meaning all questions answered with either "no" or "partly"]],'Overall results'!$C$14:$L$300,8,FALSE),"")</f>
        <v/>
      </c>
      <c r="G21" s="158" t="str">
        <f>+IFERROR(VLOOKUP(Table11[[#This Row],[Question 
"The drop-down-list contains all questions from the Overall results table meaning all questions answered with either "no" or "partly"]],'Overall results'!$C$14:$L$300,9,FALSE),"")</f>
        <v/>
      </c>
      <c r="H21" s="138"/>
      <c r="I21" s="138"/>
      <c r="J21" s="138"/>
    </row>
    <row r="22" spans="3:10" ht="21" x14ac:dyDescent="0.35">
      <c r="C22" s="138"/>
      <c r="D22" s="141" t="str">
        <f>+IFERROR(VLOOKUP(Table11[[#This Row],[Question 
"The drop-down-list contains all questions from the Overall results table meaning all questions answered with either "no" or "partly"]],'Overall results'!$C$14:$L$300,6,FALSE),"")</f>
        <v/>
      </c>
      <c r="E22" s="141" t="str">
        <f>+IFERROR(VLOOKUP(Table11[[#This Row],[Question 
"The drop-down-list contains all questions from the Overall results table meaning all questions answered with either "no" or "partly"]],'Overall results'!$C$14:$L$300,7,FALSE),"")</f>
        <v/>
      </c>
      <c r="F22" s="157" t="str">
        <f>+IFERROR(VLOOKUP(Table11[[#This Row],[Question 
"The drop-down-list contains all questions from the Overall results table meaning all questions answered with either "no" or "partly"]],'Overall results'!$C$14:$L$300,8,FALSE),"")</f>
        <v/>
      </c>
      <c r="G22" s="158" t="str">
        <f>+IFERROR(VLOOKUP(Table11[[#This Row],[Question 
"The drop-down-list contains all questions from the Overall results table meaning all questions answered with either "no" or "partly"]],'Overall results'!$C$14:$L$300,9,FALSE),"")</f>
        <v/>
      </c>
      <c r="H22" s="138"/>
      <c r="I22" s="138"/>
      <c r="J22" s="138"/>
    </row>
    <row r="23" spans="3:10" ht="21" x14ac:dyDescent="0.35">
      <c r="C23" s="138"/>
      <c r="D23" s="141" t="str">
        <f>+IFERROR(VLOOKUP(Table11[[#This Row],[Question 
"The drop-down-list contains all questions from the Overall results table meaning all questions answered with either "no" or "partly"]],'Overall results'!$C$14:$L$300,6,FALSE),"")</f>
        <v/>
      </c>
      <c r="E23" s="141" t="str">
        <f>+IFERROR(VLOOKUP(Table11[[#This Row],[Question 
"The drop-down-list contains all questions from the Overall results table meaning all questions answered with either "no" or "partly"]],'Overall results'!$C$14:$L$300,7,FALSE),"")</f>
        <v/>
      </c>
      <c r="F23" s="157" t="str">
        <f>+IFERROR(VLOOKUP(Table11[[#This Row],[Question 
"The drop-down-list contains all questions from the Overall results table meaning all questions answered with either "no" or "partly"]],'Overall results'!$C$14:$L$300,8,FALSE),"")</f>
        <v/>
      </c>
      <c r="G23" s="158" t="str">
        <f>+IFERROR(VLOOKUP(Table11[[#This Row],[Question 
"The drop-down-list contains all questions from the Overall results table meaning all questions answered with either "no" or "partly"]],'Overall results'!$C$14:$L$300,9,FALSE),"")</f>
        <v/>
      </c>
      <c r="H23" s="138"/>
      <c r="I23" s="138"/>
      <c r="J23" s="138"/>
    </row>
    <row r="24" spans="3:10" ht="21" x14ac:dyDescent="0.35">
      <c r="C24" s="138"/>
      <c r="D24" s="141" t="str">
        <f>+IFERROR(VLOOKUP(Table11[[#This Row],[Question 
"The drop-down-list contains all questions from the Overall results table meaning all questions answered with either "no" or "partly"]],'Overall results'!$C$14:$L$300,6,FALSE),"")</f>
        <v/>
      </c>
      <c r="E24" s="141" t="str">
        <f>+IFERROR(VLOOKUP(Table11[[#This Row],[Question 
"The drop-down-list contains all questions from the Overall results table meaning all questions answered with either "no" or "partly"]],'Overall results'!$C$14:$L$300,7,FALSE),"")</f>
        <v/>
      </c>
      <c r="F24" s="157" t="str">
        <f>+IFERROR(VLOOKUP(Table11[[#This Row],[Question 
"The drop-down-list contains all questions from the Overall results table meaning all questions answered with either "no" or "partly"]],'Overall results'!$C$14:$L$300,8,FALSE),"")</f>
        <v/>
      </c>
      <c r="G24" s="158" t="str">
        <f>+IFERROR(VLOOKUP(Table11[[#This Row],[Question 
"The drop-down-list contains all questions from the Overall results table meaning all questions answered with either "no" or "partly"]],'Overall results'!$C$14:$L$300,9,FALSE),"")</f>
        <v/>
      </c>
      <c r="H24" s="138"/>
      <c r="I24" s="138"/>
      <c r="J24" s="138"/>
    </row>
    <row r="25" spans="3:10" ht="21" x14ac:dyDescent="0.35">
      <c r="C25" s="138"/>
      <c r="D25" s="141" t="str">
        <f>+IFERROR(VLOOKUP(Table11[[#This Row],[Question 
"The drop-down-list contains all questions from the Overall results table meaning all questions answered with either "no" or "partly"]],'Overall results'!$C$14:$L$300,6,FALSE),"")</f>
        <v/>
      </c>
      <c r="E25" s="141" t="str">
        <f>+IFERROR(VLOOKUP(Table11[[#This Row],[Question 
"The drop-down-list contains all questions from the Overall results table meaning all questions answered with either "no" or "partly"]],'Overall results'!$C$14:$L$300,7,FALSE),"")</f>
        <v/>
      </c>
      <c r="F25" s="157" t="str">
        <f>+IFERROR(VLOOKUP(Table11[[#This Row],[Question 
"The drop-down-list contains all questions from the Overall results table meaning all questions answered with either "no" or "partly"]],'Overall results'!$C$14:$L$300,8,FALSE),"")</f>
        <v/>
      </c>
      <c r="G25" s="158" t="str">
        <f>+IFERROR(VLOOKUP(Table11[[#This Row],[Question 
"The drop-down-list contains all questions from the Overall results table meaning all questions answered with either "no" or "partly"]],'Overall results'!$C$14:$L$300,9,FALSE),"")</f>
        <v/>
      </c>
      <c r="H25" s="138"/>
      <c r="I25" s="138"/>
      <c r="J25" s="138"/>
    </row>
    <row r="26" spans="3:10" ht="21" x14ac:dyDescent="0.35">
      <c r="C26" s="138"/>
      <c r="D26" s="141" t="str">
        <f>+IFERROR(VLOOKUP(Table11[[#This Row],[Question 
"The drop-down-list contains all questions from the Overall results table meaning all questions answered with either "no" or "partly"]],'Overall results'!$C$14:$L$300,6,FALSE),"")</f>
        <v/>
      </c>
      <c r="E26" s="141" t="str">
        <f>+IFERROR(VLOOKUP(Table11[[#This Row],[Question 
"The drop-down-list contains all questions from the Overall results table meaning all questions answered with either "no" or "partly"]],'Overall results'!$C$14:$L$300,7,FALSE),"")</f>
        <v/>
      </c>
      <c r="F26" s="157" t="str">
        <f>+IFERROR(VLOOKUP(Table11[[#This Row],[Question 
"The drop-down-list contains all questions from the Overall results table meaning all questions answered with either "no" or "partly"]],'Overall results'!$C$14:$L$300,8,FALSE),"")</f>
        <v/>
      </c>
      <c r="G26" s="158" t="str">
        <f>+IFERROR(VLOOKUP(Table11[[#This Row],[Question 
"The drop-down-list contains all questions from the Overall results table meaning all questions answered with either "no" or "partly"]],'Overall results'!$C$14:$L$300,9,FALSE),"")</f>
        <v/>
      </c>
      <c r="H26" s="138"/>
      <c r="I26" s="138"/>
      <c r="J26" s="138"/>
    </row>
    <row r="27" spans="3:10" ht="21" x14ac:dyDescent="0.35">
      <c r="C27" s="138"/>
      <c r="D27" s="141" t="str">
        <f>+IFERROR(VLOOKUP(Table11[[#This Row],[Question 
"The drop-down-list contains all questions from the Overall results table meaning all questions answered with either "no" or "partly"]],'Overall results'!$C$14:$L$300,6,FALSE),"")</f>
        <v/>
      </c>
      <c r="E27" s="141" t="str">
        <f>+IFERROR(VLOOKUP(Table11[[#This Row],[Question 
"The drop-down-list contains all questions from the Overall results table meaning all questions answered with either "no" or "partly"]],'Overall results'!$C$14:$L$300,7,FALSE),"")</f>
        <v/>
      </c>
      <c r="F27" s="157" t="str">
        <f>+IFERROR(VLOOKUP(Table11[[#This Row],[Question 
"The drop-down-list contains all questions from the Overall results table meaning all questions answered with either "no" or "partly"]],'Overall results'!$C$14:$L$300,8,FALSE),"")</f>
        <v/>
      </c>
      <c r="G27" s="158" t="str">
        <f>+IFERROR(VLOOKUP(Table11[[#This Row],[Question 
"The drop-down-list contains all questions from the Overall results table meaning all questions answered with either "no" or "partly"]],'Overall results'!$C$14:$L$300,9,FALSE),"")</f>
        <v/>
      </c>
      <c r="H27" s="138"/>
      <c r="I27" s="138"/>
      <c r="J27" s="138"/>
    </row>
    <row r="28" spans="3:10" ht="21" x14ac:dyDescent="0.35">
      <c r="C28" s="138"/>
      <c r="D28" s="141" t="str">
        <f>+IFERROR(VLOOKUP(Table11[[#This Row],[Question 
"The drop-down-list contains all questions from the Overall results table meaning all questions answered with either "no" or "partly"]],'Overall results'!$C$14:$L$300,6,FALSE),"")</f>
        <v/>
      </c>
      <c r="E28" s="141" t="str">
        <f>+IFERROR(VLOOKUP(Table11[[#This Row],[Question 
"The drop-down-list contains all questions from the Overall results table meaning all questions answered with either "no" or "partly"]],'Overall results'!$C$14:$L$300,7,FALSE),"")</f>
        <v/>
      </c>
      <c r="F28" s="157" t="str">
        <f>+IFERROR(VLOOKUP(Table11[[#This Row],[Question 
"The drop-down-list contains all questions from the Overall results table meaning all questions answered with either "no" or "partly"]],'Overall results'!$C$14:$L$300,8,FALSE),"")</f>
        <v/>
      </c>
      <c r="G28" s="158" t="str">
        <f>+IFERROR(VLOOKUP(Table11[[#This Row],[Question 
"The drop-down-list contains all questions from the Overall results table meaning all questions answered with either "no" or "partly"]],'Overall results'!$C$14:$L$300,9,FALSE),"")</f>
        <v/>
      </c>
      <c r="H28" s="138"/>
      <c r="I28" s="138"/>
      <c r="J28" s="138"/>
    </row>
    <row r="29" spans="3:10" ht="21" x14ac:dyDescent="0.35">
      <c r="C29" s="138"/>
      <c r="D29" s="141" t="str">
        <f>+IFERROR(VLOOKUP(Table11[[#This Row],[Question 
"The drop-down-list contains all questions from the Overall results table meaning all questions answered with either "no" or "partly"]],'Overall results'!$C$14:$L$300,6,FALSE),"")</f>
        <v/>
      </c>
      <c r="E29" s="141" t="str">
        <f>+IFERROR(VLOOKUP(Table11[[#This Row],[Question 
"The drop-down-list contains all questions from the Overall results table meaning all questions answered with either "no" or "partly"]],'Overall results'!$C$14:$L$300,7,FALSE),"")</f>
        <v/>
      </c>
      <c r="F29" s="157" t="str">
        <f>+IFERROR(VLOOKUP(Table11[[#This Row],[Question 
"The drop-down-list contains all questions from the Overall results table meaning all questions answered with either "no" or "partly"]],'Overall results'!$C$14:$L$300,8,FALSE),"")</f>
        <v/>
      </c>
      <c r="G29" s="158" t="str">
        <f>+IFERROR(VLOOKUP(Table11[[#This Row],[Question 
"The drop-down-list contains all questions from the Overall results table meaning all questions answered with either "no" or "partly"]],'Overall results'!$C$14:$L$300,9,FALSE),"")</f>
        <v/>
      </c>
      <c r="H29" s="138"/>
      <c r="I29" s="138"/>
      <c r="J29" s="138"/>
    </row>
    <row r="30" spans="3:10" ht="21" x14ac:dyDescent="0.35">
      <c r="C30" s="138"/>
      <c r="D30" s="141" t="str">
        <f>+IFERROR(VLOOKUP(Table11[[#This Row],[Question 
"The drop-down-list contains all questions from the Overall results table meaning all questions answered with either "no" or "partly"]],'Overall results'!$C$14:$L$300,6,FALSE),"")</f>
        <v/>
      </c>
      <c r="E30" s="141" t="str">
        <f>+IFERROR(VLOOKUP(Table11[[#This Row],[Question 
"The drop-down-list contains all questions from the Overall results table meaning all questions answered with either "no" or "partly"]],'Overall results'!$C$14:$L$300,7,FALSE),"")</f>
        <v/>
      </c>
      <c r="F30" s="157" t="str">
        <f>+IFERROR(VLOOKUP(Table11[[#This Row],[Question 
"The drop-down-list contains all questions from the Overall results table meaning all questions answered with either "no" or "partly"]],'Overall results'!$C$14:$L$300,8,FALSE),"")</f>
        <v/>
      </c>
      <c r="G30" s="158" t="str">
        <f>+IFERROR(VLOOKUP(Table11[[#This Row],[Question 
"The drop-down-list contains all questions from the Overall results table meaning all questions answered with either "no" or "partly"]],'Overall results'!$C$14:$L$300,9,FALSE),"")</f>
        <v/>
      </c>
      <c r="H30" s="138"/>
      <c r="I30" s="138"/>
      <c r="J30" s="138"/>
    </row>
    <row r="31" spans="3:10" ht="21" x14ac:dyDescent="0.35">
      <c r="C31" s="138"/>
      <c r="D31" s="141" t="str">
        <f>+IFERROR(VLOOKUP(Table11[[#This Row],[Question 
"The drop-down-list contains all questions from the Overall results table meaning all questions answered with either "no" or "partly"]],'Overall results'!$C$14:$L$300,6,FALSE),"")</f>
        <v/>
      </c>
      <c r="E31" s="141" t="str">
        <f>+IFERROR(VLOOKUP(Table11[[#This Row],[Question 
"The drop-down-list contains all questions from the Overall results table meaning all questions answered with either "no" or "partly"]],'Overall results'!$C$14:$L$300,7,FALSE),"")</f>
        <v/>
      </c>
      <c r="F31" s="157" t="str">
        <f>+IFERROR(VLOOKUP(Table11[[#This Row],[Question 
"The drop-down-list contains all questions from the Overall results table meaning all questions answered with either "no" or "partly"]],'Overall results'!$C$14:$L$300,8,FALSE),"")</f>
        <v/>
      </c>
      <c r="G31" s="158" t="str">
        <f>+IFERROR(VLOOKUP(Table11[[#This Row],[Question 
"The drop-down-list contains all questions from the Overall results table meaning all questions answered with either "no" or "partly"]],'Overall results'!$C$14:$L$300,9,FALSE),"")</f>
        <v/>
      </c>
      <c r="H31" s="138"/>
      <c r="I31" s="138"/>
      <c r="J31" s="138"/>
    </row>
    <row r="32" spans="3:10" ht="21" x14ac:dyDescent="0.35">
      <c r="C32" s="138"/>
      <c r="D32" s="141" t="str">
        <f>+IFERROR(VLOOKUP(Table11[[#This Row],[Question 
"The drop-down-list contains all questions from the Overall results table meaning all questions answered with either "no" or "partly"]],'Overall results'!$C$14:$L$300,6,FALSE),"")</f>
        <v/>
      </c>
      <c r="E32" s="141" t="str">
        <f>+IFERROR(VLOOKUP(Table11[[#This Row],[Question 
"The drop-down-list contains all questions from the Overall results table meaning all questions answered with either "no" or "partly"]],'Overall results'!$C$14:$L$300,7,FALSE),"")</f>
        <v/>
      </c>
      <c r="F32" s="157" t="str">
        <f>+IFERROR(VLOOKUP(Table11[[#This Row],[Question 
"The drop-down-list contains all questions from the Overall results table meaning all questions answered with either "no" or "partly"]],'Overall results'!$C$14:$L$300,8,FALSE),"")</f>
        <v/>
      </c>
      <c r="G32" s="158" t="str">
        <f>+IFERROR(VLOOKUP(Table11[[#This Row],[Question 
"The drop-down-list contains all questions from the Overall results table meaning all questions answered with either "no" or "partly"]],'Overall results'!$C$14:$L$300,9,FALSE),"")</f>
        <v/>
      </c>
      <c r="H32" s="138"/>
      <c r="I32" s="138"/>
      <c r="J32" s="138"/>
    </row>
    <row r="33" spans="3:10" ht="21" x14ac:dyDescent="0.35">
      <c r="C33" s="138"/>
      <c r="D33" s="141" t="str">
        <f>+IFERROR(VLOOKUP(Table11[[#This Row],[Question 
"The drop-down-list contains all questions from the Overall results table meaning all questions answered with either "no" or "partly"]],'Overall results'!$C$14:$L$300,6,FALSE),"")</f>
        <v/>
      </c>
      <c r="E33" s="141" t="str">
        <f>+IFERROR(VLOOKUP(Table11[[#This Row],[Question 
"The drop-down-list contains all questions from the Overall results table meaning all questions answered with either "no" or "partly"]],'Overall results'!$C$14:$L$300,7,FALSE),"")</f>
        <v/>
      </c>
      <c r="F33" s="157" t="str">
        <f>+IFERROR(VLOOKUP(Table11[[#This Row],[Question 
"The drop-down-list contains all questions from the Overall results table meaning all questions answered with either "no" or "partly"]],'Overall results'!$C$14:$L$300,8,FALSE),"")</f>
        <v/>
      </c>
      <c r="G33" s="158" t="str">
        <f>+IFERROR(VLOOKUP(Table11[[#This Row],[Question 
"The drop-down-list contains all questions from the Overall results table meaning all questions answered with either "no" or "partly"]],'Overall results'!$C$14:$L$300,9,FALSE),"")</f>
        <v/>
      </c>
      <c r="H33" s="138"/>
      <c r="I33" s="138"/>
      <c r="J33" s="138"/>
    </row>
    <row r="34" spans="3:10" ht="21" x14ac:dyDescent="0.35">
      <c r="C34" s="138"/>
      <c r="D34" s="141" t="str">
        <f>+IFERROR(VLOOKUP(Table11[[#This Row],[Question 
"The drop-down-list contains all questions from the Overall results table meaning all questions answered with either "no" or "partly"]],'Overall results'!$C$14:$L$300,6,FALSE),"")</f>
        <v/>
      </c>
      <c r="E34" s="141" t="str">
        <f>+IFERROR(VLOOKUP(Table11[[#This Row],[Question 
"The drop-down-list contains all questions from the Overall results table meaning all questions answered with either "no" or "partly"]],'Overall results'!$C$14:$L$300,7,FALSE),"")</f>
        <v/>
      </c>
      <c r="F34" s="157" t="str">
        <f>+IFERROR(VLOOKUP(Table11[[#This Row],[Question 
"The drop-down-list contains all questions from the Overall results table meaning all questions answered with either "no" or "partly"]],'Overall results'!$C$14:$L$300,8,FALSE),"")</f>
        <v/>
      </c>
      <c r="G34" s="158" t="str">
        <f>+IFERROR(VLOOKUP(Table11[[#This Row],[Question 
"The drop-down-list contains all questions from the Overall results table meaning all questions answered with either "no" or "partly"]],'Overall results'!$C$14:$L$300,9,FALSE),"")</f>
        <v/>
      </c>
      <c r="H34" s="138"/>
      <c r="I34" s="138"/>
      <c r="J34" s="138"/>
    </row>
    <row r="35" spans="3:10" ht="21" x14ac:dyDescent="0.35">
      <c r="C35" s="138"/>
      <c r="D35" s="141" t="str">
        <f>+IFERROR(VLOOKUP(Table11[[#This Row],[Question 
"The drop-down-list contains all questions from the Overall results table meaning all questions answered with either "no" or "partly"]],'Overall results'!$C$14:$L$300,6,FALSE),"")</f>
        <v/>
      </c>
      <c r="E35" s="141" t="str">
        <f>+IFERROR(VLOOKUP(Table11[[#This Row],[Question 
"The drop-down-list contains all questions from the Overall results table meaning all questions answered with either "no" or "partly"]],'Overall results'!$C$14:$L$300,7,FALSE),"")</f>
        <v/>
      </c>
      <c r="F35" s="157" t="str">
        <f>+IFERROR(VLOOKUP(Table11[[#This Row],[Question 
"The drop-down-list contains all questions from the Overall results table meaning all questions answered with either "no" or "partly"]],'Overall results'!$C$14:$L$300,8,FALSE),"")</f>
        <v/>
      </c>
      <c r="G35" s="158" t="str">
        <f>+IFERROR(VLOOKUP(Table11[[#This Row],[Question 
"The drop-down-list contains all questions from the Overall results table meaning all questions answered with either "no" or "partly"]],'Overall results'!$C$14:$L$300,9,FALSE),"")</f>
        <v/>
      </c>
      <c r="H35" s="138"/>
      <c r="I35" s="138"/>
      <c r="J35" s="138"/>
    </row>
    <row r="36" spans="3:10" ht="21" x14ac:dyDescent="0.35">
      <c r="C36" s="138"/>
      <c r="D36" s="141" t="str">
        <f>+IFERROR(VLOOKUP(Table11[[#This Row],[Question 
"The drop-down-list contains all questions from the Overall results table meaning all questions answered with either "no" or "partly"]],'Overall results'!$C$14:$L$300,6,FALSE),"")</f>
        <v/>
      </c>
      <c r="E36" s="141" t="str">
        <f>+IFERROR(VLOOKUP(Table11[[#This Row],[Question 
"The drop-down-list contains all questions from the Overall results table meaning all questions answered with either "no" or "partly"]],'Overall results'!$C$14:$L$300,7,FALSE),"")</f>
        <v/>
      </c>
      <c r="F36" s="157" t="str">
        <f>+IFERROR(VLOOKUP(Table11[[#This Row],[Question 
"The drop-down-list contains all questions from the Overall results table meaning all questions answered with either "no" or "partly"]],'Overall results'!$C$14:$L$300,8,FALSE),"")</f>
        <v/>
      </c>
      <c r="G36" s="158" t="str">
        <f>+IFERROR(VLOOKUP(Table11[[#This Row],[Question 
"The drop-down-list contains all questions from the Overall results table meaning all questions answered with either "no" or "partly"]],'Overall results'!$C$14:$L$300,9,FALSE),"")</f>
        <v/>
      </c>
      <c r="H36" s="138"/>
      <c r="I36" s="138"/>
      <c r="J36" s="138"/>
    </row>
    <row r="37" spans="3:10" ht="21" x14ac:dyDescent="0.35">
      <c r="C37" s="138"/>
      <c r="D37" s="141" t="str">
        <f>+IFERROR(VLOOKUP(Table11[[#This Row],[Question 
"The drop-down-list contains all questions from the Overall results table meaning all questions answered with either "no" or "partly"]],'Overall results'!$C$14:$L$300,6,FALSE),"")</f>
        <v/>
      </c>
      <c r="E37" s="141" t="str">
        <f>+IFERROR(VLOOKUP(Table11[[#This Row],[Question 
"The drop-down-list contains all questions from the Overall results table meaning all questions answered with either "no" or "partly"]],'Overall results'!$C$14:$L$300,7,FALSE),"")</f>
        <v/>
      </c>
      <c r="F37" s="157" t="str">
        <f>+IFERROR(VLOOKUP(Table11[[#This Row],[Question 
"The drop-down-list contains all questions from the Overall results table meaning all questions answered with either "no" or "partly"]],'Overall results'!$C$14:$L$300,8,FALSE),"")</f>
        <v/>
      </c>
      <c r="G37" s="158" t="str">
        <f>+IFERROR(VLOOKUP(Table11[[#This Row],[Question 
"The drop-down-list contains all questions from the Overall results table meaning all questions answered with either "no" or "partly"]],'Overall results'!$C$14:$L$300,9,FALSE),"")</f>
        <v/>
      </c>
      <c r="H37" s="138"/>
      <c r="I37" s="138"/>
      <c r="J37" s="138"/>
    </row>
    <row r="38" spans="3:10" ht="21" x14ac:dyDescent="0.35">
      <c r="C38" s="138"/>
      <c r="D38" s="141" t="str">
        <f>+IFERROR(VLOOKUP(Table11[[#This Row],[Question 
"The drop-down-list contains all questions from the Overall results table meaning all questions answered with either "no" or "partly"]],'Overall results'!$C$14:$L$300,6,FALSE),"")</f>
        <v/>
      </c>
      <c r="E38" s="141" t="str">
        <f>+IFERROR(VLOOKUP(Table11[[#This Row],[Question 
"The drop-down-list contains all questions from the Overall results table meaning all questions answered with either "no" or "partly"]],'Overall results'!$C$14:$L$300,7,FALSE),"")</f>
        <v/>
      </c>
      <c r="F38" s="157" t="str">
        <f>+IFERROR(VLOOKUP(Table11[[#This Row],[Question 
"The drop-down-list contains all questions from the Overall results table meaning all questions answered with either "no" or "partly"]],'Overall results'!$C$14:$L$300,8,FALSE),"")</f>
        <v/>
      </c>
      <c r="G38" s="158" t="str">
        <f>+IFERROR(VLOOKUP(Table11[[#This Row],[Question 
"The drop-down-list contains all questions from the Overall results table meaning all questions answered with either "no" or "partly"]],'Overall results'!$C$14:$L$300,9,FALSE),"")</f>
        <v/>
      </c>
      <c r="H38" s="138"/>
      <c r="I38" s="138"/>
      <c r="J38" s="138"/>
    </row>
    <row r="39" spans="3:10" ht="21" x14ac:dyDescent="0.35">
      <c r="C39" s="138"/>
      <c r="D39" s="141" t="str">
        <f>+IFERROR(VLOOKUP(Table11[[#This Row],[Question 
"The drop-down-list contains all questions from the Overall results table meaning all questions answered with either "no" or "partly"]],'Overall results'!$C$14:$L$300,6,FALSE),"")</f>
        <v/>
      </c>
      <c r="E39" s="141" t="str">
        <f>+IFERROR(VLOOKUP(Table11[[#This Row],[Question 
"The drop-down-list contains all questions from the Overall results table meaning all questions answered with either "no" or "partly"]],'Overall results'!$C$14:$L$300,7,FALSE),"")</f>
        <v/>
      </c>
      <c r="F39" s="157" t="str">
        <f>+IFERROR(VLOOKUP(Table11[[#This Row],[Question 
"The drop-down-list contains all questions from the Overall results table meaning all questions answered with either "no" or "partly"]],'Overall results'!$C$14:$L$300,8,FALSE),"")</f>
        <v/>
      </c>
      <c r="G39" s="158" t="str">
        <f>+IFERROR(VLOOKUP(Table11[[#This Row],[Question 
"The drop-down-list contains all questions from the Overall results table meaning all questions answered with either "no" or "partly"]],'Overall results'!$C$14:$L$300,9,FALSE),"")</f>
        <v/>
      </c>
      <c r="H39" s="138"/>
      <c r="I39" s="138"/>
      <c r="J39" s="138"/>
    </row>
    <row r="40" spans="3:10" ht="21" x14ac:dyDescent="0.35">
      <c r="C40" s="138"/>
      <c r="D40" s="141" t="str">
        <f>+IFERROR(VLOOKUP(Table11[[#This Row],[Question 
"The drop-down-list contains all questions from the Overall results table meaning all questions answered with either "no" or "partly"]],'Overall results'!$C$14:$L$300,6,FALSE),"")</f>
        <v/>
      </c>
      <c r="E40" s="141" t="str">
        <f>+IFERROR(VLOOKUP(Table11[[#This Row],[Question 
"The drop-down-list contains all questions from the Overall results table meaning all questions answered with either "no" or "partly"]],'Overall results'!$C$14:$L$300,7,FALSE),"")</f>
        <v/>
      </c>
      <c r="F40" s="157" t="str">
        <f>+IFERROR(VLOOKUP(Table11[[#This Row],[Question 
"The drop-down-list contains all questions from the Overall results table meaning all questions answered with either "no" or "partly"]],'Overall results'!$C$14:$L$300,8,FALSE),"")</f>
        <v/>
      </c>
      <c r="G40" s="158" t="str">
        <f>+IFERROR(VLOOKUP(Table11[[#This Row],[Question 
"The drop-down-list contains all questions from the Overall results table meaning all questions answered with either "no" or "partly"]],'Overall results'!$C$14:$L$300,9,FALSE),"")</f>
        <v/>
      </c>
      <c r="H40" s="138"/>
      <c r="I40" s="138"/>
      <c r="J40" s="138"/>
    </row>
    <row r="41" spans="3:10" ht="21" x14ac:dyDescent="0.35">
      <c r="C41" s="138"/>
      <c r="D41" s="141" t="str">
        <f>+IFERROR(VLOOKUP(Table11[[#This Row],[Question 
"The drop-down-list contains all questions from the Overall results table meaning all questions answered with either "no" or "partly"]],'Overall results'!$C$14:$L$300,6,FALSE),"")</f>
        <v/>
      </c>
      <c r="E41" s="141" t="str">
        <f>+IFERROR(VLOOKUP(Table11[[#This Row],[Question 
"The drop-down-list contains all questions from the Overall results table meaning all questions answered with either "no" or "partly"]],'Overall results'!$C$14:$L$300,7,FALSE),"")</f>
        <v/>
      </c>
      <c r="F41" s="157" t="str">
        <f>+IFERROR(VLOOKUP(Table11[[#This Row],[Question 
"The drop-down-list contains all questions from the Overall results table meaning all questions answered with either "no" or "partly"]],'Overall results'!$C$14:$L$300,8,FALSE),"")</f>
        <v/>
      </c>
      <c r="G41" s="158" t="str">
        <f>+IFERROR(VLOOKUP(Table11[[#This Row],[Question 
"The drop-down-list contains all questions from the Overall results table meaning all questions answered with either "no" or "partly"]],'Overall results'!$C$14:$L$300,9,FALSE),"")</f>
        <v/>
      </c>
      <c r="H41" s="138"/>
      <c r="I41" s="138"/>
      <c r="J41" s="138"/>
    </row>
    <row r="42" spans="3:10" ht="21" x14ac:dyDescent="0.35">
      <c r="C42" s="138"/>
      <c r="D42" s="141" t="str">
        <f>+IFERROR(VLOOKUP(Table11[[#This Row],[Question 
"The drop-down-list contains all questions from the Overall results table meaning all questions answered with either "no" or "partly"]],'Overall results'!$C$14:$L$300,6,FALSE),"")</f>
        <v/>
      </c>
      <c r="E42" s="141" t="str">
        <f>+IFERROR(VLOOKUP(Table11[[#This Row],[Question 
"The drop-down-list contains all questions from the Overall results table meaning all questions answered with either "no" or "partly"]],'Overall results'!$C$14:$L$300,7,FALSE),"")</f>
        <v/>
      </c>
      <c r="F42" s="157" t="str">
        <f>+IFERROR(VLOOKUP(Table11[[#This Row],[Question 
"The drop-down-list contains all questions from the Overall results table meaning all questions answered with either "no" or "partly"]],'Overall results'!$C$14:$L$300,8,FALSE),"")</f>
        <v/>
      </c>
      <c r="G42" s="158" t="str">
        <f>+IFERROR(VLOOKUP(Table11[[#This Row],[Question 
"The drop-down-list contains all questions from the Overall results table meaning all questions answered with either "no" or "partly"]],'Overall results'!$C$14:$L$300,9,FALSE),"")</f>
        <v/>
      </c>
      <c r="H42" s="138"/>
      <c r="I42" s="138"/>
      <c r="J42" s="138"/>
    </row>
    <row r="43" spans="3:10" ht="21" x14ac:dyDescent="0.35">
      <c r="C43" s="138"/>
      <c r="D43" s="141" t="str">
        <f>+IFERROR(VLOOKUP(Table11[[#This Row],[Question 
"The drop-down-list contains all questions from the Overall results table meaning all questions answered with either "no" or "partly"]],'Overall results'!$C$14:$L$300,6,FALSE),"")</f>
        <v/>
      </c>
      <c r="E43" s="141" t="str">
        <f>+IFERROR(VLOOKUP(Table11[[#This Row],[Question 
"The drop-down-list contains all questions from the Overall results table meaning all questions answered with either "no" or "partly"]],'Overall results'!$C$14:$L$300,7,FALSE),"")</f>
        <v/>
      </c>
      <c r="F43" s="157" t="str">
        <f>+IFERROR(VLOOKUP(Table11[[#This Row],[Question 
"The drop-down-list contains all questions from the Overall results table meaning all questions answered with either "no" or "partly"]],'Overall results'!$C$14:$L$300,8,FALSE),"")</f>
        <v/>
      </c>
      <c r="G43" s="158" t="str">
        <f>+IFERROR(VLOOKUP(Table11[[#This Row],[Question 
"The drop-down-list contains all questions from the Overall results table meaning all questions answered with either "no" or "partly"]],'Overall results'!$C$14:$L$300,9,FALSE),"")</f>
        <v/>
      </c>
      <c r="H43" s="138"/>
      <c r="I43" s="138"/>
      <c r="J43" s="138"/>
    </row>
    <row r="44" spans="3:10" ht="21" x14ac:dyDescent="0.35">
      <c r="C44" s="138"/>
      <c r="D44" s="141" t="str">
        <f>+IFERROR(VLOOKUP(Table11[[#This Row],[Question 
"The drop-down-list contains all questions from the Overall results table meaning all questions answered with either "no" or "partly"]],'Overall results'!$C$14:$L$300,6,FALSE),"")</f>
        <v/>
      </c>
      <c r="E44" s="141" t="str">
        <f>+IFERROR(VLOOKUP(Table11[[#This Row],[Question 
"The drop-down-list contains all questions from the Overall results table meaning all questions answered with either "no" or "partly"]],'Overall results'!$C$14:$L$300,7,FALSE),"")</f>
        <v/>
      </c>
      <c r="F44" s="157" t="str">
        <f>+IFERROR(VLOOKUP(Table11[[#This Row],[Question 
"The drop-down-list contains all questions from the Overall results table meaning all questions answered with either "no" or "partly"]],'Overall results'!$C$14:$L$300,8,FALSE),"")</f>
        <v/>
      </c>
      <c r="G44" s="158" t="str">
        <f>+IFERROR(VLOOKUP(Table11[[#This Row],[Question 
"The drop-down-list contains all questions from the Overall results table meaning all questions answered with either "no" or "partly"]],'Overall results'!$C$14:$L$300,9,FALSE),"")</f>
        <v/>
      </c>
      <c r="H44" s="138"/>
      <c r="I44" s="138"/>
      <c r="J44" s="138"/>
    </row>
  </sheetData>
  <sheetProtection sheet="1" objects="1" scenarios="1"/>
  <mergeCells count="1">
    <mergeCell ref="C3:J3"/>
  </mergeCells>
  <conditionalFormatting sqref="D10">
    <cfRule type="colorScale" priority="10">
      <colorScale>
        <cfvo type="num" val="1"/>
        <cfvo type="num" val="3"/>
        <cfvo type="num" val="5"/>
        <color rgb="FFF8696B"/>
        <color rgb="FFFFEB84"/>
        <color rgb="FF63BE7B"/>
      </colorScale>
    </cfRule>
  </conditionalFormatting>
  <conditionalFormatting sqref="C10">
    <cfRule type="colorScale" priority="9">
      <colorScale>
        <cfvo type="num" val="1"/>
        <cfvo type="num" val="3"/>
        <cfvo type="num" val="5"/>
        <color rgb="FFF8696B"/>
        <color rgb="FFFFEB84"/>
        <color rgb="FF63BE7B"/>
      </colorScale>
    </cfRule>
  </conditionalFormatting>
  <conditionalFormatting sqref="F7:F44">
    <cfRule type="colorScale" priority="1">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1" operator="containsText" id="{FF338C8D-ED2D-4A6E-A00E-0CFBA7E38AA7}">
            <xm:f>NOT(ISERROR(SEARCH(Sheet2!$B$5,D7)))</xm:f>
            <xm:f>Sheet2!$B$5</xm:f>
            <x14:dxf>
              <font>
                <color theme="0"/>
              </font>
              <fill>
                <patternFill>
                  <bgColor rgb="FFFF7979"/>
                </patternFill>
              </fill>
            </x14:dxf>
          </x14:cfRule>
          <x14:cfRule type="containsText" priority="22" operator="containsText" id="{E1205A18-7259-4916-AA21-8FC7BCA5BF8C}">
            <xm:f>NOT(ISERROR(SEARCH(Sheet2!$B$4,D7)))</xm:f>
            <xm:f>Sheet2!$B$4</xm:f>
            <x14:dxf>
              <fill>
                <patternFill>
                  <bgColor rgb="FFFFE684"/>
                </patternFill>
              </fill>
            </x14:dxf>
          </x14:cfRule>
          <x14:cfRule type="containsText" priority="23" operator="containsText" id="{D7B448C5-FB91-4787-9CB1-23BE7AC22746}">
            <xm:f>NOT(ISERROR(SEARCH(Sheet2!$B$3,D7)))</xm:f>
            <xm:f>Sheet2!$B$3</xm:f>
            <x14:dxf>
              <fill>
                <patternFill>
                  <bgColor rgb="FF63BE7B"/>
                </patternFill>
              </fill>
            </x14:dxf>
          </x14:cfRule>
          <xm:sqref>D7:D44</xm:sqref>
        </x14:conditionalFormatting>
        <x14:conditionalFormatting xmlns:xm="http://schemas.microsoft.com/office/excel/2006/main">
          <x14:cfRule type="containsText" priority="18" operator="containsText" id="{AFA9E050-53A8-4405-BDA0-232484E231CD}">
            <xm:f>NOT(ISERROR(SEARCH(Sheet2!$B$4,D7)))</xm:f>
            <xm:f>Sheet2!$B$4</xm:f>
            <x14:dxf>
              <fill>
                <patternFill>
                  <bgColor rgb="FFFFC000"/>
                </patternFill>
              </fill>
            </x14:dxf>
          </x14:cfRule>
          <x14:cfRule type="containsText" priority="19" operator="containsText" id="{1A44A6AB-EF54-4819-A0CE-2276AD7B424E}">
            <xm:f>NOT(ISERROR(SEARCH(Sheet2!$B$3,D7)))</xm:f>
            <xm:f>Sheet2!$B$3</xm:f>
            <x14:dxf>
              <fill>
                <patternFill>
                  <bgColor theme="9"/>
                </patternFill>
              </fill>
            </x14:dxf>
          </x14:cfRule>
          <xm:sqref>D7:E7</xm:sqref>
        </x14:conditionalFormatting>
        <x14:conditionalFormatting xmlns:xm="http://schemas.microsoft.com/office/excel/2006/main">
          <x14:cfRule type="containsText" priority="2" operator="containsText" id="{3EF71093-6052-405B-A2D2-4CF39DF666B2}">
            <xm:f>NOT(ISERROR(SEARCH(Sheet2!$F$3,G7)))</xm:f>
            <xm:f>Sheet2!$F$3</xm:f>
            <x14:dxf>
              <fill>
                <patternFill>
                  <bgColor rgb="FF63BE7B"/>
                </patternFill>
              </fill>
            </x14:dxf>
          </x14:cfRule>
          <x14:cfRule type="containsText" priority="3" operator="containsText" id="{CF08DA1A-0536-4893-9630-52019849599C}">
            <xm:f>NOT(ISERROR(SEARCH(Sheet2!$F$4,G7)))</xm:f>
            <xm:f>Sheet2!$F$4</xm:f>
            <x14:dxf>
              <fill>
                <patternFill>
                  <bgColor rgb="FFFFEB84"/>
                </patternFill>
              </fill>
            </x14:dxf>
          </x14:cfRule>
          <x14:cfRule type="containsText" priority="4" operator="containsText" id="{2519A2A4-345E-47A1-AD13-3DD4BABF6485}">
            <xm:f>NOT(ISERROR(SEARCH(Sheet2!$F$5,G7)))</xm:f>
            <xm:f>Sheet2!$F$5</xm:f>
            <x14:dxf>
              <font>
                <color theme="0"/>
              </font>
              <fill>
                <patternFill>
                  <bgColor rgb="FFF8696B"/>
                </patternFill>
              </fill>
            </x14:dxf>
          </x14:cfRule>
          <xm:sqref>G7:G44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3F89C5-4958-4ADD-832C-3A427CA94772}">
          <x14:formula1>
            <xm:f>'Overall results'!$C$14:$C$300</xm:f>
          </x14:formula1>
          <xm:sqref>C7:C44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F1892-2374-46B6-8E50-D4E9E1994ECC}">
  <dimension ref="B1:L129"/>
  <sheetViews>
    <sheetView showGridLines="0" zoomScale="50" zoomScaleNormal="50" workbookViewId="0"/>
  </sheetViews>
  <sheetFormatPr defaultColWidth="9.28515625" defaultRowHeight="15" x14ac:dyDescent="0.25"/>
  <cols>
    <col min="1" max="1" width="9.28515625" style="85"/>
    <col min="2" max="2" width="24.7109375" style="85" customWidth="1"/>
    <col min="3" max="3" width="114.5703125" style="85" customWidth="1"/>
    <col min="4" max="4" width="27.140625" style="85" bestFit="1" customWidth="1"/>
    <col min="5" max="5" width="26.28515625" style="85" bestFit="1" customWidth="1"/>
    <col min="6" max="6" width="132.7109375" style="85" customWidth="1"/>
    <col min="7" max="7" width="44" style="85" bestFit="1" customWidth="1"/>
    <col min="8" max="8" width="41.7109375" style="85" bestFit="1" customWidth="1"/>
    <col min="9" max="9" width="30.140625" style="85" bestFit="1" customWidth="1"/>
    <col min="10" max="10" width="47.7109375" style="85" customWidth="1"/>
    <col min="11" max="11" width="51.28515625" style="85" bestFit="1" customWidth="1"/>
    <col min="12" max="12" width="39.28515625" style="85" bestFit="1" customWidth="1"/>
    <col min="13" max="16384" width="9.28515625" style="85"/>
  </cols>
  <sheetData>
    <row r="1" spans="2:12" ht="111.75" customHeight="1" x14ac:dyDescent="0.25"/>
    <row r="2" spans="2:12" ht="408.75" customHeight="1" thickBot="1" x14ac:dyDescent="0.3"/>
    <row r="3" spans="2:12" ht="42" x14ac:dyDescent="0.25">
      <c r="F3" s="100" t="s">
        <v>389</v>
      </c>
    </row>
    <row r="4" spans="2:12" ht="70.150000000000006" customHeight="1" x14ac:dyDescent="0.25">
      <c r="B4" s="123" t="s">
        <v>106</v>
      </c>
      <c r="C4" s="123" t="s">
        <v>351</v>
      </c>
      <c r="D4" s="123" t="s">
        <v>95</v>
      </c>
      <c r="E4" s="123" t="s">
        <v>96</v>
      </c>
      <c r="F4" s="124" t="s">
        <v>534</v>
      </c>
      <c r="G4" s="124" t="s">
        <v>387</v>
      </c>
      <c r="H4" s="104" t="s">
        <v>353</v>
      </c>
      <c r="I4" s="104" t="s">
        <v>354</v>
      </c>
      <c r="J4" s="104" t="s">
        <v>283</v>
      </c>
      <c r="K4" s="104" t="s">
        <v>398</v>
      </c>
      <c r="L4" s="104" t="s">
        <v>355</v>
      </c>
    </row>
    <row r="5" spans="2:12" ht="63" x14ac:dyDescent="0.25">
      <c r="B5" s="81" t="s">
        <v>0</v>
      </c>
      <c r="C5" s="142" t="s">
        <v>489</v>
      </c>
      <c r="D5" s="81">
        <v>5</v>
      </c>
      <c r="E5" s="81">
        <v>1</v>
      </c>
      <c r="F5" s="128" t="s">
        <v>197</v>
      </c>
      <c r="G5" s="81" t="s">
        <v>392</v>
      </c>
      <c r="H5" s="105"/>
      <c r="I5" s="133"/>
      <c r="J5" s="119"/>
      <c r="K5" s="120"/>
      <c r="L5" s="129"/>
    </row>
    <row r="6" spans="2:12" ht="63" x14ac:dyDescent="0.25">
      <c r="B6" s="77" t="s">
        <v>0</v>
      </c>
      <c r="C6" s="126" t="s">
        <v>548</v>
      </c>
      <c r="D6" s="77">
        <v>5</v>
      </c>
      <c r="E6" s="77">
        <v>2</v>
      </c>
      <c r="F6" s="130" t="s">
        <v>198</v>
      </c>
      <c r="G6" s="77"/>
      <c r="H6" s="106"/>
      <c r="I6" s="134"/>
      <c r="J6" s="121"/>
      <c r="K6" s="120"/>
      <c r="L6" s="122"/>
    </row>
    <row r="7" spans="2:12" ht="42" x14ac:dyDescent="0.25">
      <c r="B7" s="77" t="s">
        <v>0</v>
      </c>
      <c r="C7" s="126" t="s">
        <v>440</v>
      </c>
      <c r="D7" s="77">
        <v>5</v>
      </c>
      <c r="E7" s="77">
        <v>2</v>
      </c>
      <c r="F7" s="130" t="s">
        <v>199</v>
      </c>
      <c r="G7" s="77"/>
      <c r="H7" s="106"/>
      <c r="I7" s="134"/>
      <c r="J7" s="121"/>
      <c r="K7" s="120"/>
      <c r="L7" s="122"/>
    </row>
    <row r="8" spans="2:12" ht="42" x14ac:dyDescent="0.25">
      <c r="B8" s="77" t="s">
        <v>0</v>
      </c>
      <c r="C8" s="126" t="s">
        <v>490</v>
      </c>
      <c r="D8" s="77">
        <v>5</v>
      </c>
      <c r="E8" s="77">
        <v>2</v>
      </c>
      <c r="F8" s="130" t="s">
        <v>200</v>
      </c>
      <c r="G8" s="77"/>
      <c r="H8" s="106"/>
      <c r="I8" s="134"/>
      <c r="J8" s="121"/>
      <c r="K8" s="120"/>
      <c r="L8" s="122"/>
    </row>
    <row r="9" spans="2:12" ht="63" x14ac:dyDescent="0.25">
      <c r="B9" s="77" t="s">
        <v>0</v>
      </c>
      <c r="C9" s="126" t="s">
        <v>491</v>
      </c>
      <c r="D9" s="77">
        <v>5</v>
      </c>
      <c r="E9" s="77">
        <v>2</v>
      </c>
      <c r="F9" s="130" t="s">
        <v>201</v>
      </c>
      <c r="G9" s="77"/>
      <c r="H9" s="106"/>
      <c r="I9" s="134"/>
      <c r="J9" s="121"/>
      <c r="K9" s="120"/>
      <c r="L9" s="122"/>
    </row>
    <row r="10" spans="2:12" ht="84" x14ac:dyDescent="0.25">
      <c r="B10" s="77" t="s">
        <v>0</v>
      </c>
      <c r="C10" s="126" t="s">
        <v>492</v>
      </c>
      <c r="D10" s="77">
        <v>5</v>
      </c>
      <c r="E10" s="77">
        <v>2</v>
      </c>
      <c r="F10" s="130" t="s">
        <v>202</v>
      </c>
      <c r="G10" s="77"/>
      <c r="H10" s="106"/>
      <c r="I10" s="134"/>
      <c r="J10" s="121"/>
      <c r="K10" s="120"/>
      <c r="L10" s="122"/>
    </row>
    <row r="11" spans="2:12" ht="105" x14ac:dyDescent="0.25">
      <c r="B11" s="77" t="s">
        <v>0</v>
      </c>
      <c r="C11" s="126" t="s">
        <v>441</v>
      </c>
      <c r="D11" s="77">
        <v>5</v>
      </c>
      <c r="E11" s="77">
        <v>2</v>
      </c>
      <c r="F11" s="130" t="s">
        <v>203</v>
      </c>
      <c r="G11" s="77"/>
      <c r="H11" s="106"/>
      <c r="I11" s="134"/>
      <c r="J11" s="121"/>
      <c r="K11" s="120"/>
      <c r="L11" s="122"/>
    </row>
    <row r="12" spans="2:12" ht="42" x14ac:dyDescent="0.25">
      <c r="B12" s="77" t="s">
        <v>0</v>
      </c>
      <c r="C12" s="126" t="s">
        <v>442</v>
      </c>
      <c r="D12" s="77">
        <v>5</v>
      </c>
      <c r="E12" s="77">
        <v>2</v>
      </c>
      <c r="F12" s="130" t="s">
        <v>204</v>
      </c>
      <c r="G12" s="77"/>
      <c r="H12" s="106"/>
      <c r="I12" s="134"/>
      <c r="J12" s="121"/>
      <c r="K12" s="120"/>
      <c r="L12" s="122"/>
    </row>
    <row r="13" spans="2:12" ht="84" x14ac:dyDescent="0.25">
      <c r="B13" s="77" t="s">
        <v>0</v>
      </c>
      <c r="C13" s="126" t="s">
        <v>443</v>
      </c>
      <c r="D13" s="77">
        <v>5</v>
      </c>
      <c r="E13" s="77">
        <v>2</v>
      </c>
      <c r="F13" s="130" t="s">
        <v>205</v>
      </c>
      <c r="G13" s="77"/>
      <c r="H13" s="106"/>
      <c r="I13" s="134"/>
      <c r="J13" s="121"/>
      <c r="K13" s="120"/>
      <c r="L13" s="122"/>
    </row>
    <row r="14" spans="2:12" ht="42" x14ac:dyDescent="0.25">
      <c r="B14" s="77" t="s">
        <v>0</v>
      </c>
      <c r="C14" s="126" t="s">
        <v>444</v>
      </c>
      <c r="D14" s="77">
        <v>5</v>
      </c>
      <c r="E14" s="77">
        <v>2</v>
      </c>
      <c r="F14" s="130" t="s">
        <v>206</v>
      </c>
      <c r="G14" s="77"/>
      <c r="H14" s="106"/>
      <c r="I14" s="134"/>
      <c r="J14" s="121"/>
      <c r="K14" s="120"/>
      <c r="L14" s="122"/>
    </row>
    <row r="15" spans="2:12" ht="84" x14ac:dyDescent="0.25">
      <c r="B15" s="77" t="s">
        <v>0</v>
      </c>
      <c r="C15" s="126" t="s">
        <v>445</v>
      </c>
      <c r="D15" s="77">
        <v>5</v>
      </c>
      <c r="E15" s="77">
        <v>2</v>
      </c>
      <c r="F15" s="121" t="s">
        <v>207</v>
      </c>
      <c r="G15" s="77"/>
      <c r="H15" s="106"/>
      <c r="I15" s="134"/>
      <c r="J15" s="121"/>
      <c r="K15" s="120"/>
      <c r="L15" s="122"/>
    </row>
    <row r="16" spans="2:12" ht="42" x14ac:dyDescent="0.25">
      <c r="B16" s="77" t="s">
        <v>0</v>
      </c>
      <c r="C16" s="126" t="s">
        <v>446</v>
      </c>
      <c r="D16" s="77">
        <v>5</v>
      </c>
      <c r="E16" s="77">
        <v>2</v>
      </c>
      <c r="F16" s="121" t="s">
        <v>208</v>
      </c>
      <c r="G16" s="77"/>
      <c r="H16" s="106"/>
      <c r="I16" s="134"/>
      <c r="J16" s="121"/>
      <c r="K16" s="120"/>
      <c r="L16" s="122"/>
    </row>
    <row r="17" spans="2:12" ht="84" x14ac:dyDescent="0.25">
      <c r="B17" s="77" t="s">
        <v>0</v>
      </c>
      <c r="C17" s="126" t="s">
        <v>493</v>
      </c>
      <c r="D17" s="77">
        <v>5</v>
      </c>
      <c r="E17" s="77">
        <v>3</v>
      </c>
      <c r="F17" s="121" t="s">
        <v>209</v>
      </c>
      <c r="G17" s="77" t="s">
        <v>388</v>
      </c>
      <c r="H17" s="106"/>
      <c r="I17" s="134"/>
      <c r="J17" s="121"/>
      <c r="K17" s="120"/>
      <c r="L17" s="122"/>
    </row>
    <row r="18" spans="2:12" ht="84" x14ac:dyDescent="0.25">
      <c r="B18" s="77" t="s">
        <v>0</v>
      </c>
      <c r="C18" s="126" t="s">
        <v>533</v>
      </c>
      <c r="D18" s="78">
        <v>5</v>
      </c>
      <c r="E18" s="78">
        <v>4</v>
      </c>
      <c r="F18" s="130" t="s">
        <v>210</v>
      </c>
      <c r="G18" s="78"/>
      <c r="H18" s="106"/>
      <c r="I18" s="134"/>
      <c r="J18" s="121"/>
      <c r="K18" s="120"/>
      <c r="L18" s="122"/>
    </row>
    <row r="19" spans="2:12" ht="84" x14ac:dyDescent="0.25">
      <c r="B19" s="77" t="s">
        <v>0</v>
      </c>
      <c r="C19" s="126" t="s">
        <v>527</v>
      </c>
      <c r="D19" s="77">
        <v>6</v>
      </c>
      <c r="E19" s="77">
        <v>1</v>
      </c>
      <c r="F19" s="130" t="s">
        <v>211</v>
      </c>
      <c r="G19" s="77"/>
      <c r="H19" s="106"/>
      <c r="I19" s="134"/>
      <c r="J19" s="121"/>
      <c r="K19" s="120"/>
      <c r="L19" s="122"/>
    </row>
    <row r="20" spans="2:12" ht="126" x14ac:dyDescent="0.25">
      <c r="B20" s="77" t="s">
        <v>0</v>
      </c>
      <c r="C20" s="126" t="s">
        <v>528</v>
      </c>
      <c r="D20" s="77">
        <v>6</v>
      </c>
      <c r="E20" s="77">
        <v>2</v>
      </c>
      <c r="F20" s="130" t="s">
        <v>212</v>
      </c>
      <c r="G20" s="77"/>
      <c r="H20" s="106"/>
      <c r="I20" s="134"/>
      <c r="J20" s="121"/>
      <c r="K20" s="120"/>
      <c r="L20" s="122"/>
    </row>
    <row r="21" spans="2:12" ht="126" x14ac:dyDescent="0.25">
      <c r="B21" s="77" t="s">
        <v>0</v>
      </c>
      <c r="C21" s="126" t="s">
        <v>529</v>
      </c>
      <c r="D21" s="77">
        <v>6</v>
      </c>
      <c r="E21" s="77">
        <v>2</v>
      </c>
      <c r="F21" s="130" t="s">
        <v>212</v>
      </c>
      <c r="G21" s="77"/>
      <c r="H21" s="106"/>
      <c r="I21" s="134"/>
      <c r="J21" s="121"/>
      <c r="K21" s="120"/>
      <c r="L21" s="122"/>
    </row>
    <row r="22" spans="2:12" ht="126" x14ac:dyDescent="0.25">
      <c r="B22" s="77" t="s">
        <v>0</v>
      </c>
      <c r="C22" s="126" t="s">
        <v>530</v>
      </c>
      <c r="D22" s="77">
        <v>6</v>
      </c>
      <c r="E22" s="77">
        <v>2</v>
      </c>
      <c r="F22" s="130" t="s">
        <v>212</v>
      </c>
      <c r="G22" s="77"/>
      <c r="H22" s="106"/>
      <c r="I22" s="134"/>
      <c r="J22" s="121"/>
      <c r="K22" s="120"/>
      <c r="L22" s="122"/>
    </row>
    <row r="23" spans="2:12" ht="126" x14ac:dyDescent="0.25">
      <c r="B23" s="77" t="s">
        <v>0</v>
      </c>
      <c r="C23" s="126" t="s">
        <v>531</v>
      </c>
      <c r="D23" s="77">
        <v>6</v>
      </c>
      <c r="E23" s="77">
        <v>2</v>
      </c>
      <c r="F23" s="130" t="s">
        <v>212</v>
      </c>
      <c r="G23" s="77"/>
      <c r="H23" s="106"/>
      <c r="I23" s="134"/>
      <c r="J23" s="121"/>
      <c r="K23" s="120"/>
      <c r="L23" s="122"/>
    </row>
    <row r="24" spans="2:12" ht="84" x14ac:dyDescent="0.25">
      <c r="B24" s="77" t="s">
        <v>0</v>
      </c>
      <c r="C24" s="126" t="s">
        <v>447</v>
      </c>
      <c r="D24" s="77">
        <v>6</v>
      </c>
      <c r="E24" s="77">
        <v>3</v>
      </c>
      <c r="F24" s="130" t="s">
        <v>213</v>
      </c>
      <c r="G24" s="77"/>
      <c r="H24" s="106"/>
      <c r="I24" s="134"/>
      <c r="J24" s="121"/>
      <c r="K24" s="120"/>
      <c r="L24" s="122"/>
    </row>
    <row r="25" spans="2:12" ht="126" x14ac:dyDescent="0.25">
      <c r="B25" s="77" t="s">
        <v>0</v>
      </c>
      <c r="C25" s="126" t="s">
        <v>448</v>
      </c>
      <c r="D25" s="77">
        <v>6</v>
      </c>
      <c r="E25" s="77">
        <v>4</v>
      </c>
      <c r="F25" s="130" t="s">
        <v>214</v>
      </c>
      <c r="G25" s="77" t="s">
        <v>388</v>
      </c>
      <c r="H25" s="106"/>
      <c r="I25" s="134"/>
      <c r="J25" s="121"/>
      <c r="K25" s="120"/>
      <c r="L25" s="122"/>
    </row>
    <row r="26" spans="2:12" ht="126" x14ac:dyDescent="0.25">
      <c r="B26" s="77" t="s">
        <v>0</v>
      </c>
      <c r="C26" s="126" t="s">
        <v>449</v>
      </c>
      <c r="D26" s="77">
        <v>6</v>
      </c>
      <c r="E26" s="77">
        <v>4</v>
      </c>
      <c r="F26" s="130" t="s">
        <v>214</v>
      </c>
      <c r="G26" s="77" t="s">
        <v>388</v>
      </c>
      <c r="H26" s="106"/>
      <c r="I26" s="134"/>
      <c r="J26" s="121"/>
      <c r="K26" s="120"/>
      <c r="L26" s="122"/>
    </row>
    <row r="27" spans="2:12" ht="147" x14ac:dyDescent="0.25">
      <c r="B27" s="77" t="s">
        <v>0</v>
      </c>
      <c r="C27" s="126" t="s">
        <v>450</v>
      </c>
      <c r="D27" s="77">
        <v>6</v>
      </c>
      <c r="E27" s="77">
        <v>5</v>
      </c>
      <c r="F27" s="130" t="s">
        <v>215</v>
      </c>
      <c r="G27" s="77" t="s">
        <v>388</v>
      </c>
      <c r="H27" s="106"/>
      <c r="I27" s="134"/>
      <c r="J27" s="121"/>
      <c r="K27" s="120"/>
      <c r="L27" s="122"/>
    </row>
    <row r="28" spans="2:12" ht="105" x14ac:dyDescent="0.25">
      <c r="B28" s="77" t="s">
        <v>0</v>
      </c>
      <c r="C28" s="126" t="s">
        <v>549</v>
      </c>
      <c r="D28" s="77">
        <v>6</v>
      </c>
      <c r="E28" s="77">
        <v>6</v>
      </c>
      <c r="F28" s="131" t="s">
        <v>216</v>
      </c>
      <c r="G28" s="77" t="s">
        <v>388</v>
      </c>
      <c r="H28" s="106"/>
      <c r="I28" s="135"/>
      <c r="J28" s="121"/>
      <c r="K28" s="120"/>
      <c r="L28" s="122"/>
    </row>
    <row r="29" spans="2:12" ht="63" x14ac:dyDescent="0.25">
      <c r="B29" s="77" t="s">
        <v>0</v>
      </c>
      <c r="C29" s="126" t="s">
        <v>451</v>
      </c>
      <c r="D29" s="77">
        <v>6</v>
      </c>
      <c r="E29" s="77">
        <v>7</v>
      </c>
      <c r="F29" s="131" t="s">
        <v>217</v>
      </c>
      <c r="G29" s="77"/>
      <c r="H29" s="106"/>
      <c r="I29" s="135"/>
      <c r="J29" s="121"/>
      <c r="K29" s="120"/>
      <c r="L29" s="122"/>
    </row>
    <row r="30" spans="2:12" ht="63" x14ac:dyDescent="0.25">
      <c r="B30" s="77" t="s">
        <v>0</v>
      </c>
      <c r="C30" s="126" t="s">
        <v>452</v>
      </c>
      <c r="D30" s="77">
        <v>6</v>
      </c>
      <c r="E30" s="77">
        <v>7</v>
      </c>
      <c r="F30" s="130" t="s">
        <v>217</v>
      </c>
      <c r="G30" s="77"/>
      <c r="H30" s="106"/>
      <c r="I30" s="134"/>
      <c r="J30" s="121"/>
      <c r="K30" s="120"/>
      <c r="L30" s="122"/>
    </row>
    <row r="31" spans="2:12" ht="63" x14ac:dyDescent="0.25">
      <c r="B31" s="77" t="s">
        <v>0</v>
      </c>
      <c r="C31" s="126" t="s">
        <v>494</v>
      </c>
      <c r="D31" s="77">
        <v>6</v>
      </c>
      <c r="E31" s="77">
        <v>8</v>
      </c>
      <c r="F31" s="130" t="s">
        <v>535</v>
      </c>
      <c r="G31" s="77"/>
      <c r="H31" s="106"/>
      <c r="I31" s="134"/>
      <c r="J31" s="121"/>
      <c r="K31" s="120"/>
      <c r="L31" s="122"/>
    </row>
    <row r="32" spans="2:12" ht="42" x14ac:dyDescent="0.25">
      <c r="B32" s="77" t="s">
        <v>0</v>
      </c>
      <c r="C32" s="126" t="s">
        <v>569</v>
      </c>
      <c r="D32" s="77">
        <v>6</v>
      </c>
      <c r="E32" s="77">
        <v>8</v>
      </c>
      <c r="F32" s="130" t="s">
        <v>219</v>
      </c>
      <c r="G32" s="77"/>
      <c r="H32" s="106"/>
      <c r="I32" s="134"/>
      <c r="J32" s="121"/>
      <c r="K32" s="120"/>
      <c r="L32" s="122"/>
    </row>
    <row r="33" spans="2:12" ht="42" x14ac:dyDescent="0.25">
      <c r="B33" s="77" t="s">
        <v>0</v>
      </c>
      <c r="C33" s="126" t="s">
        <v>570</v>
      </c>
      <c r="D33" s="77">
        <v>6</v>
      </c>
      <c r="E33" s="77">
        <v>8</v>
      </c>
      <c r="F33" s="130" t="s">
        <v>536</v>
      </c>
      <c r="G33" s="77"/>
      <c r="H33" s="106"/>
      <c r="I33" s="134"/>
      <c r="J33" s="121"/>
      <c r="K33" s="120"/>
      <c r="L33" s="122"/>
    </row>
    <row r="34" spans="2:12" ht="42" x14ac:dyDescent="0.25">
      <c r="B34" s="77" t="s">
        <v>0</v>
      </c>
      <c r="C34" s="126" t="s">
        <v>571</v>
      </c>
      <c r="D34" s="77">
        <v>6</v>
      </c>
      <c r="E34" s="77">
        <v>8</v>
      </c>
      <c r="F34" s="130" t="s">
        <v>537</v>
      </c>
      <c r="G34" s="77"/>
      <c r="H34" s="106"/>
      <c r="I34" s="134"/>
      <c r="J34" s="121"/>
      <c r="K34" s="120"/>
      <c r="L34" s="122"/>
    </row>
    <row r="35" spans="2:12" ht="42" x14ac:dyDescent="0.25">
      <c r="B35" s="77" t="s">
        <v>0</v>
      </c>
      <c r="C35" s="126" t="s">
        <v>572</v>
      </c>
      <c r="D35" s="77">
        <v>6</v>
      </c>
      <c r="E35" s="77">
        <v>8</v>
      </c>
      <c r="F35" s="130" t="s">
        <v>538</v>
      </c>
      <c r="G35" s="77"/>
      <c r="H35" s="106"/>
      <c r="I35" s="134"/>
      <c r="J35" s="121"/>
      <c r="K35" s="120"/>
      <c r="L35" s="122"/>
    </row>
    <row r="36" spans="2:12" ht="42" x14ac:dyDescent="0.25">
      <c r="B36" s="77" t="s">
        <v>0</v>
      </c>
      <c r="C36" s="126" t="s">
        <v>573</v>
      </c>
      <c r="D36" s="77">
        <v>6</v>
      </c>
      <c r="E36" s="77">
        <v>8</v>
      </c>
      <c r="F36" s="130" t="s">
        <v>223</v>
      </c>
      <c r="G36" s="77"/>
      <c r="H36" s="106"/>
      <c r="I36" s="134"/>
      <c r="J36" s="121"/>
      <c r="K36" s="120"/>
      <c r="L36" s="122"/>
    </row>
    <row r="37" spans="2:12" ht="63" x14ac:dyDescent="0.25">
      <c r="B37" s="77" t="s">
        <v>0</v>
      </c>
      <c r="C37" s="126" t="s">
        <v>574</v>
      </c>
      <c r="D37" s="77">
        <v>6</v>
      </c>
      <c r="E37" s="77">
        <v>8</v>
      </c>
      <c r="F37" s="130" t="s">
        <v>224</v>
      </c>
      <c r="G37" s="77"/>
      <c r="H37" s="106"/>
      <c r="I37" s="134"/>
      <c r="J37" s="121"/>
      <c r="K37" s="120"/>
      <c r="L37" s="122"/>
    </row>
    <row r="38" spans="2:12" ht="42" x14ac:dyDescent="0.25">
      <c r="B38" s="77" t="s">
        <v>0</v>
      </c>
      <c r="C38" s="126" t="s">
        <v>575</v>
      </c>
      <c r="D38" s="77">
        <v>6</v>
      </c>
      <c r="E38" s="77">
        <v>8</v>
      </c>
      <c r="F38" s="130" t="s">
        <v>225</v>
      </c>
      <c r="G38" s="77"/>
      <c r="H38" s="106"/>
      <c r="I38" s="134"/>
      <c r="J38" s="121"/>
      <c r="K38" s="120"/>
      <c r="L38" s="122"/>
    </row>
    <row r="39" spans="2:12" ht="42" x14ac:dyDescent="0.25">
      <c r="B39" s="77" t="s">
        <v>0</v>
      </c>
      <c r="C39" s="126" t="s">
        <v>576</v>
      </c>
      <c r="D39" s="77">
        <v>6</v>
      </c>
      <c r="E39" s="77">
        <v>8</v>
      </c>
      <c r="F39" s="130" t="s">
        <v>226</v>
      </c>
      <c r="G39" s="77"/>
      <c r="H39" s="106"/>
      <c r="I39" s="134"/>
      <c r="J39" s="121"/>
      <c r="K39" s="120"/>
      <c r="L39" s="122"/>
    </row>
    <row r="40" spans="2:12" ht="84" x14ac:dyDescent="0.25">
      <c r="B40" s="77" t="s">
        <v>0</v>
      </c>
      <c r="C40" s="126" t="s">
        <v>453</v>
      </c>
      <c r="D40" s="78">
        <v>6</v>
      </c>
      <c r="E40" s="78">
        <v>9</v>
      </c>
      <c r="F40" s="130" t="s">
        <v>541</v>
      </c>
      <c r="G40" s="78"/>
      <c r="H40" s="106"/>
      <c r="I40" s="134"/>
      <c r="J40" s="121"/>
      <c r="K40" s="120"/>
      <c r="L40" s="122"/>
    </row>
    <row r="41" spans="2:12" ht="84" x14ac:dyDescent="0.25">
      <c r="B41" s="77" t="s">
        <v>0</v>
      </c>
      <c r="C41" s="126" t="s">
        <v>539</v>
      </c>
      <c r="D41" s="78">
        <v>6</v>
      </c>
      <c r="E41" s="78">
        <v>10</v>
      </c>
      <c r="F41" s="130" t="s">
        <v>495</v>
      </c>
      <c r="G41" s="78"/>
      <c r="H41" s="106"/>
      <c r="I41" s="134"/>
      <c r="J41" s="121"/>
      <c r="K41" s="120"/>
      <c r="L41" s="122"/>
    </row>
    <row r="42" spans="2:12" ht="84" customHeight="1" x14ac:dyDescent="0.25">
      <c r="B42" s="77" t="s">
        <v>0</v>
      </c>
      <c r="C42" s="126" t="s">
        <v>540</v>
      </c>
      <c r="D42" s="78">
        <v>7</v>
      </c>
      <c r="E42" s="78">
        <v>1</v>
      </c>
      <c r="F42" s="130" t="s">
        <v>123</v>
      </c>
      <c r="G42" s="78"/>
      <c r="H42" s="106"/>
      <c r="I42" s="134"/>
      <c r="J42" s="121"/>
      <c r="K42" s="120"/>
      <c r="L42" s="122"/>
    </row>
    <row r="43" spans="2:12" ht="63" x14ac:dyDescent="0.25">
      <c r="B43" s="77" t="s">
        <v>0</v>
      </c>
      <c r="C43" s="126" t="s">
        <v>577</v>
      </c>
      <c r="D43" s="78">
        <v>7</v>
      </c>
      <c r="E43" s="78">
        <v>1</v>
      </c>
      <c r="F43" s="121" t="s">
        <v>231</v>
      </c>
      <c r="G43" s="78"/>
      <c r="H43" s="106"/>
      <c r="I43" s="134"/>
      <c r="J43" s="121"/>
      <c r="K43" s="120"/>
      <c r="L43" s="122"/>
    </row>
    <row r="44" spans="2:12" ht="42" x14ac:dyDescent="0.25">
      <c r="B44" s="77" t="s">
        <v>0</v>
      </c>
      <c r="C44" s="126" t="s">
        <v>125</v>
      </c>
      <c r="D44" s="78">
        <v>7</v>
      </c>
      <c r="E44" s="78">
        <v>1</v>
      </c>
      <c r="F44" s="130" t="s">
        <v>125</v>
      </c>
      <c r="G44" s="78"/>
      <c r="H44" s="106"/>
      <c r="I44" s="134"/>
      <c r="J44" s="121"/>
      <c r="K44" s="120"/>
      <c r="L44" s="122"/>
    </row>
    <row r="45" spans="2:12" ht="63" x14ac:dyDescent="0.25">
      <c r="B45" s="77" t="s">
        <v>0</v>
      </c>
      <c r="C45" s="126" t="s">
        <v>578</v>
      </c>
      <c r="D45" s="78">
        <v>7</v>
      </c>
      <c r="E45" s="78">
        <v>1</v>
      </c>
      <c r="F45" s="130" t="s">
        <v>232</v>
      </c>
      <c r="G45" s="78"/>
      <c r="H45" s="106"/>
      <c r="I45" s="134"/>
      <c r="J45" s="121"/>
      <c r="K45" s="120"/>
      <c r="L45" s="122"/>
    </row>
    <row r="46" spans="2:12" ht="81.75" customHeight="1" x14ac:dyDescent="0.25">
      <c r="B46" s="77" t="s">
        <v>0</v>
      </c>
      <c r="C46" s="126" t="s">
        <v>579</v>
      </c>
      <c r="D46" s="78">
        <v>7</v>
      </c>
      <c r="E46" s="78">
        <v>1</v>
      </c>
      <c r="F46" s="130" t="s">
        <v>233</v>
      </c>
      <c r="G46" s="78"/>
      <c r="H46" s="106"/>
      <c r="I46" s="134"/>
      <c r="J46" s="121"/>
      <c r="K46" s="120"/>
      <c r="L46" s="122"/>
    </row>
    <row r="47" spans="2:12" ht="161.25" customHeight="1" x14ac:dyDescent="0.25">
      <c r="B47" s="77" t="s">
        <v>0</v>
      </c>
      <c r="C47" s="126" t="s">
        <v>550</v>
      </c>
      <c r="D47" s="78">
        <v>8</v>
      </c>
      <c r="E47" s="78">
        <v>1</v>
      </c>
      <c r="F47" s="130" t="s">
        <v>234</v>
      </c>
      <c r="G47" s="78"/>
      <c r="H47" s="106"/>
      <c r="I47" s="134"/>
      <c r="J47" s="121"/>
      <c r="K47" s="120"/>
      <c r="L47" s="122"/>
    </row>
    <row r="48" spans="2:12" ht="84" x14ac:dyDescent="0.25">
      <c r="B48" s="77" t="s">
        <v>0</v>
      </c>
      <c r="C48" s="126" t="s">
        <v>551</v>
      </c>
      <c r="D48" s="78">
        <v>8</v>
      </c>
      <c r="E48" s="78">
        <v>2</v>
      </c>
      <c r="F48" s="121" t="s">
        <v>235</v>
      </c>
      <c r="G48" s="78"/>
      <c r="H48" s="106"/>
      <c r="I48" s="134"/>
      <c r="J48" s="121"/>
      <c r="K48" s="120"/>
      <c r="L48" s="122"/>
    </row>
    <row r="49" spans="2:12" ht="84" x14ac:dyDescent="0.25">
      <c r="B49" s="77" t="s">
        <v>0</v>
      </c>
      <c r="C49" s="126" t="s">
        <v>454</v>
      </c>
      <c r="D49" s="78">
        <v>8</v>
      </c>
      <c r="E49" s="78">
        <v>3</v>
      </c>
      <c r="F49" s="130" t="s">
        <v>236</v>
      </c>
      <c r="G49" s="77" t="s">
        <v>388</v>
      </c>
      <c r="H49" s="106"/>
      <c r="I49" s="134"/>
      <c r="J49" s="121"/>
      <c r="K49" s="120"/>
      <c r="L49" s="122"/>
    </row>
    <row r="50" spans="2:12" ht="84" x14ac:dyDescent="0.25">
      <c r="B50" s="77" t="s">
        <v>0</v>
      </c>
      <c r="C50" s="126" t="s">
        <v>552</v>
      </c>
      <c r="D50" s="78">
        <v>8</v>
      </c>
      <c r="E50" s="78">
        <v>4</v>
      </c>
      <c r="F50" s="130" t="s">
        <v>237</v>
      </c>
      <c r="G50" s="78"/>
      <c r="H50" s="106"/>
      <c r="I50" s="134"/>
      <c r="J50" s="121"/>
      <c r="K50" s="120"/>
      <c r="L50" s="122"/>
    </row>
    <row r="51" spans="2:12" ht="63" x14ac:dyDescent="0.25">
      <c r="B51" s="77" t="s">
        <v>0</v>
      </c>
      <c r="C51" s="126" t="s">
        <v>455</v>
      </c>
      <c r="D51" s="78">
        <v>8</v>
      </c>
      <c r="E51" s="78">
        <v>5</v>
      </c>
      <c r="F51" s="130" t="s">
        <v>238</v>
      </c>
      <c r="G51" s="78"/>
      <c r="H51" s="106"/>
      <c r="I51" s="134"/>
      <c r="J51" s="121"/>
      <c r="K51" s="120"/>
      <c r="L51" s="122"/>
    </row>
    <row r="52" spans="2:12" ht="63" x14ac:dyDescent="0.25">
      <c r="B52" s="77" t="s">
        <v>0</v>
      </c>
      <c r="C52" s="126" t="s">
        <v>542</v>
      </c>
      <c r="D52" s="78">
        <v>8</v>
      </c>
      <c r="E52" s="78">
        <v>6</v>
      </c>
      <c r="F52" s="130" t="s">
        <v>239</v>
      </c>
      <c r="G52" s="78"/>
      <c r="H52" s="106"/>
      <c r="I52" s="134"/>
      <c r="J52" s="121"/>
      <c r="K52" s="120"/>
      <c r="L52" s="122"/>
    </row>
    <row r="53" spans="2:12" ht="111.75" customHeight="1" x14ac:dyDescent="0.25">
      <c r="B53" s="77" t="s">
        <v>0</v>
      </c>
      <c r="C53" s="126" t="s">
        <v>456</v>
      </c>
      <c r="D53" s="78">
        <v>8</v>
      </c>
      <c r="E53" s="78">
        <v>7</v>
      </c>
      <c r="F53" s="130" t="s">
        <v>240</v>
      </c>
      <c r="G53" s="77" t="s">
        <v>388</v>
      </c>
      <c r="H53" s="106"/>
      <c r="I53" s="134"/>
      <c r="J53" s="121"/>
      <c r="K53" s="120"/>
      <c r="L53" s="122"/>
    </row>
    <row r="54" spans="2:12" ht="112.5" customHeight="1" x14ac:dyDescent="0.25">
      <c r="B54" s="77" t="s">
        <v>0</v>
      </c>
      <c r="C54" s="126" t="s">
        <v>457</v>
      </c>
      <c r="D54" s="78">
        <v>9</v>
      </c>
      <c r="E54" s="78">
        <v>1</v>
      </c>
      <c r="F54" s="130" t="s">
        <v>241</v>
      </c>
      <c r="G54" s="78"/>
      <c r="H54" s="106"/>
      <c r="I54" s="134"/>
      <c r="J54" s="121"/>
      <c r="K54" s="120"/>
      <c r="L54" s="122"/>
    </row>
    <row r="55" spans="2:12" ht="159" customHeight="1" x14ac:dyDescent="0.25">
      <c r="B55" s="77" t="s">
        <v>0</v>
      </c>
      <c r="C55" s="126" t="s">
        <v>553</v>
      </c>
      <c r="D55" s="78">
        <v>9</v>
      </c>
      <c r="E55" s="78">
        <v>2</v>
      </c>
      <c r="F55" s="130" t="s">
        <v>242</v>
      </c>
      <c r="G55" s="78"/>
      <c r="H55" s="106"/>
      <c r="I55" s="134"/>
      <c r="J55" s="121"/>
      <c r="K55" s="120"/>
      <c r="L55" s="122"/>
    </row>
    <row r="56" spans="2:12" ht="147" x14ac:dyDescent="0.25">
      <c r="B56" s="77" t="s">
        <v>0</v>
      </c>
      <c r="C56" s="126" t="s">
        <v>458</v>
      </c>
      <c r="D56" s="78">
        <v>9</v>
      </c>
      <c r="E56" s="78" t="s">
        <v>243</v>
      </c>
      <c r="F56" s="130" t="s">
        <v>246</v>
      </c>
      <c r="G56" s="78"/>
      <c r="H56" s="106"/>
      <c r="I56" s="134"/>
      <c r="J56" s="121"/>
      <c r="K56" s="120"/>
      <c r="L56" s="122"/>
    </row>
    <row r="57" spans="2:12" ht="378" x14ac:dyDescent="0.25">
      <c r="B57" s="77" t="s">
        <v>0</v>
      </c>
      <c r="C57" s="126" t="s">
        <v>459</v>
      </c>
      <c r="D57" s="78">
        <v>9</v>
      </c>
      <c r="E57" s="78">
        <v>4</v>
      </c>
      <c r="F57" s="130" t="s">
        <v>248</v>
      </c>
      <c r="G57" s="78"/>
      <c r="H57" s="106"/>
      <c r="I57" s="134"/>
      <c r="J57" s="121"/>
      <c r="K57" s="120"/>
      <c r="L57" s="122"/>
    </row>
    <row r="58" spans="2:12" ht="63" x14ac:dyDescent="0.25">
      <c r="B58" s="77" t="s">
        <v>0</v>
      </c>
      <c r="C58" s="144" t="s">
        <v>580</v>
      </c>
      <c r="D58" s="78">
        <v>9</v>
      </c>
      <c r="E58" s="78">
        <v>4</v>
      </c>
      <c r="F58" s="130" t="s">
        <v>251</v>
      </c>
      <c r="G58" s="78"/>
      <c r="H58" s="106"/>
      <c r="I58" s="134"/>
      <c r="J58" s="121"/>
      <c r="K58" s="120"/>
      <c r="L58" s="122"/>
    </row>
    <row r="59" spans="2:12" ht="84" x14ac:dyDescent="0.25">
      <c r="B59" s="77" t="s">
        <v>0</v>
      </c>
      <c r="C59" s="126" t="s">
        <v>581</v>
      </c>
      <c r="D59" s="78">
        <v>9</v>
      </c>
      <c r="E59" s="78">
        <v>4</v>
      </c>
      <c r="F59" s="130" t="s">
        <v>253</v>
      </c>
      <c r="G59" s="78"/>
      <c r="H59" s="106"/>
      <c r="I59" s="134"/>
      <c r="J59" s="121"/>
      <c r="K59" s="120"/>
      <c r="L59" s="122"/>
    </row>
    <row r="60" spans="2:12" ht="84" x14ac:dyDescent="0.25">
      <c r="B60" s="77" t="s">
        <v>0</v>
      </c>
      <c r="C60" s="126" t="s">
        <v>582</v>
      </c>
      <c r="D60" s="78">
        <v>9</v>
      </c>
      <c r="E60" s="78">
        <v>4</v>
      </c>
      <c r="F60" s="130" t="s">
        <v>255</v>
      </c>
      <c r="G60" s="78"/>
      <c r="H60" s="106"/>
      <c r="I60" s="134"/>
      <c r="J60" s="121"/>
      <c r="K60" s="120"/>
      <c r="L60" s="122"/>
    </row>
    <row r="61" spans="2:12" ht="84" x14ac:dyDescent="0.25">
      <c r="B61" s="77" t="s">
        <v>0</v>
      </c>
      <c r="C61" s="126" t="s">
        <v>583</v>
      </c>
      <c r="D61" s="78">
        <v>9</v>
      </c>
      <c r="E61" s="78">
        <v>4</v>
      </c>
      <c r="F61" s="121" t="s">
        <v>584</v>
      </c>
      <c r="G61" s="78"/>
      <c r="H61" s="106"/>
      <c r="I61" s="134"/>
      <c r="J61" s="121"/>
      <c r="K61" s="120"/>
      <c r="L61" s="122"/>
    </row>
    <row r="62" spans="2:12" ht="126" x14ac:dyDescent="0.25">
      <c r="B62" s="77" t="s">
        <v>0</v>
      </c>
      <c r="C62" s="126" t="s">
        <v>585</v>
      </c>
      <c r="D62" s="78">
        <v>9</v>
      </c>
      <c r="E62" s="78">
        <v>4</v>
      </c>
      <c r="F62" s="130" t="s">
        <v>259</v>
      </c>
      <c r="G62" s="78"/>
      <c r="H62" s="106"/>
      <c r="I62" s="134"/>
      <c r="J62" s="121"/>
      <c r="K62" s="120"/>
      <c r="L62" s="122"/>
    </row>
    <row r="63" spans="2:12" ht="42" x14ac:dyDescent="0.25">
      <c r="B63" s="77" t="s">
        <v>0</v>
      </c>
      <c r="C63" s="126" t="s">
        <v>586</v>
      </c>
      <c r="D63" s="78">
        <v>9</v>
      </c>
      <c r="E63" s="78">
        <v>4</v>
      </c>
      <c r="F63" s="121" t="s">
        <v>260</v>
      </c>
      <c r="G63" s="78"/>
      <c r="H63" s="106"/>
      <c r="I63" s="134"/>
      <c r="J63" s="121"/>
      <c r="K63" s="120"/>
      <c r="L63" s="122"/>
    </row>
    <row r="64" spans="2:12" ht="63" x14ac:dyDescent="0.25">
      <c r="B64" s="77" t="s">
        <v>0</v>
      </c>
      <c r="C64" s="126" t="s">
        <v>460</v>
      </c>
      <c r="D64" s="78">
        <v>10</v>
      </c>
      <c r="E64" s="78">
        <v>1</v>
      </c>
      <c r="F64" s="130" t="s">
        <v>262</v>
      </c>
      <c r="G64" s="78"/>
      <c r="H64" s="106"/>
      <c r="I64" s="134"/>
      <c r="J64" s="121"/>
      <c r="K64" s="120"/>
      <c r="L64" s="122"/>
    </row>
    <row r="65" spans="2:12" ht="84" x14ac:dyDescent="0.25">
      <c r="B65" s="77" t="s">
        <v>0</v>
      </c>
      <c r="C65" s="126" t="s">
        <v>109</v>
      </c>
      <c r="D65" s="78">
        <v>10</v>
      </c>
      <c r="E65" s="78">
        <v>2</v>
      </c>
      <c r="F65" s="130" t="s">
        <v>263</v>
      </c>
      <c r="G65" s="78"/>
      <c r="H65" s="106"/>
      <c r="I65" s="134"/>
      <c r="J65" s="121"/>
      <c r="K65" s="120"/>
      <c r="L65" s="122"/>
    </row>
    <row r="66" spans="2:12" ht="42" x14ac:dyDescent="0.25">
      <c r="B66" s="77" t="s">
        <v>0</v>
      </c>
      <c r="C66" s="126" t="s">
        <v>461</v>
      </c>
      <c r="D66" s="78">
        <v>10</v>
      </c>
      <c r="E66" s="78">
        <v>1</v>
      </c>
      <c r="F66" s="130" t="s">
        <v>264</v>
      </c>
      <c r="G66" s="78"/>
      <c r="H66" s="106"/>
      <c r="I66" s="134"/>
      <c r="J66" s="121"/>
      <c r="K66" s="120"/>
      <c r="L66" s="122"/>
    </row>
    <row r="67" spans="2:12" ht="42" x14ac:dyDescent="0.25">
      <c r="B67" s="77" t="s">
        <v>0</v>
      </c>
      <c r="C67" s="126" t="s">
        <v>462</v>
      </c>
      <c r="D67" s="78">
        <v>10</v>
      </c>
      <c r="E67" s="78">
        <v>3</v>
      </c>
      <c r="F67" s="130" t="s">
        <v>265</v>
      </c>
      <c r="G67" s="78"/>
      <c r="H67" s="106"/>
      <c r="I67" s="134"/>
      <c r="J67" s="121"/>
      <c r="K67" s="120"/>
      <c r="L67" s="122"/>
    </row>
    <row r="68" spans="2:12" ht="63" x14ac:dyDescent="0.25">
      <c r="B68" s="77" t="s">
        <v>0</v>
      </c>
      <c r="C68" s="126" t="s">
        <v>463</v>
      </c>
      <c r="D68" s="78">
        <v>10</v>
      </c>
      <c r="E68" s="78">
        <v>4</v>
      </c>
      <c r="F68" s="130" t="s">
        <v>266</v>
      </c>
      <c r="G68" s="78"/>
      <c r="H68" s="106"/>
      <c r="I68" s="134"/>
      <c r="J68" s="121"/>
      <c r="K68" s="120"/>
      <c r="L68" s="122"/>
    </row>
    <row r="69" spans="2:12" ht="105" x14ac:dyDescent="0.25">
      <c r="B69" s="77" t="s">
        <v>0</v>
      </c>
      <c r="C69" s="77" t="s">
        <v>464</v>
      </c>
      <c r="D69" s="78">
        <v>11</v>
      </c>
      <c r="E69" s="78">
        <v>1</v>
      </c>
      <c r="F69" s="130" t="s">
        <v>267</v>
      </c>
      <c r="G69" s="78"/>
      <c r="H69" s="106"/>
      <c r="I69" s="134"/>
      <c r="J69" s="121"/>
      <c r="K69" s="120"/>
      <c r="L69" s="122"/>
    </row>
    <row r="70" spans="2:12" ht="273" x14ac:dyDescent="0.25">
      <c r="B70" s="77" t="s">
        <v>0</v>
      </c>
      <c r="C70" s="126" t="s">
        <v>465</v>
      </c>
      <c r="D70" s="78">
        <v>11</v>
      </c>
      <c r="E70" s="78">
        <v>2</v>
      </c>
      <c r="F70" s="130" t="s">
        <v>268</v>
      </c>
      <c r="G70" s="78"/>
      <c r="H70" s="106"/>
      <c r="I70" s="134"/>
      <c r="J70" s="121"/>
      <c r="K70" s="120"/>
      <c r="L70" s="122"/>
    </row>
    <row r="71" spans="2:12" ht="144.75" customHeight="1" x14ac:dyDescent="0.25">
      <c r="B71" s="77" t="s">
        <v>0</v>
      </c>
      <c r="C71" s="126" t="s">
        <v>393</v>
      </c>
      <c r="D71" s="78">
        <v>11</v>
      </c>
      <c r="E71" s="78">
        <v>3</v>
      </c>
      <c r="F71" s="121" t="s">
        <v>269</v>
      </c>
      <c r="G71" s="77" t="s">
        <v>543</v>
      </c>
      <c r="H71" s="106"/>
      <c r="I71" s="134"/>
      <c r="J71" s="121"/>
      <c r="K71" s="120"/>
      <c r="L71" s="122"/>
    </row>
    <row r="72" spans="2:12" ht="120" customHeight="1" x14ac:dyDescent="0.25">
      <c r="B72" s="77" t="s">
        <v>0</v>
      </c>
      <c r="C72" s="126" t="s">
        <v>466</v>
      </c>
      <c r="D72" s="78">
        <v>11</v>
      </c>
      <c r="E72" s="78">
        <v>4</v>
      </c>
      <c r="F72" s="130" t="s">
        <v>271</v>
      </c>
      <c r="G72" s="78"/>
      <c r="H72" s="106"/>
      <c r="I72" s="134"/>
      <c r="J72" s="121"/>
      <c r="K72" s="120"/>
      <c r="L72" s="122"/>
    </row>
    <row r="73" spans="2:12" ht="105" x14ac:dyDescent="0.25">
      <c r="B73" s="77" t="s">
        <v>0</v>
      </c>
      <c r="C73" s="126" t="s">
        <v>467</v>
      </c>
      <c r="D73" s="78">
        <v>11</v>
      </c>
      <c r="E73" s="78">
        <v>6</v>
      </c>
      <c r="F73" s="130" t="s">
        <v>272</v>
      </c>
      <c r="G73" s="78"/>
      <c r="H73" s="106"/>
      <c r="I73" s="134"/>
      <c r="J73" s="121"/>
      <c r="K73" s="120"/>
      <c r="L73" s="122"/>
    </row>
    <row r="74" spans="2:12" ht="57.75" customHeight="1" x14ac:dyDescent="0.25">
      <c r="B74" s="77" t="s">
        <v>0</v>
      </c>
      <c r="C74" s="126" t="s">
        <v>468</v>
      </c>
      <c r="D74" s="78">
        <v>11</v>
      </c>
      <c r="E74" s="78">
        <v>7</v>
      </c>
      <c r="F74" s="130" t="s">
        <v>273</v>
      </c>
      <c r="G74" s="77" t="s">
        <v>388</v>
      </c>
      <c r="H74" s="106"/>
      <c r="I74" s="134"/>
      <c r="J74" s="121"/>
      <c r="K74" s="120"/>
      <c r="L74" s="122"/>
    </row>
    <row r="75" spans="2:12" ht="63" x14ac:dyDescent="0.25">
      <c r="B75" s="77" t="s">
        <v>0</v>
      </c>
      <c r="C75" s="126" t="s">
        <v>469</v>
      </c>
      <c r="D75" s="78">
        <v>11</v>
      </c>
      <c r="E75" s="78">
        <v>8</v>
      </c>
      <c r="F75" s="130" t="s">
        <v>274</v>
      </c>
      <c r="G75" s="78"/>
      <c r="H75" s="106"/>
      <c r="I75" s="134"/>
      <c r="J75" s="121"/>
      <c r="K75" s="120"/>
      <c r="L75" s="122"/>
    </row>
    <row r="76" spans="2:12" ht="42" x14ac:dyDescent="0.25">
      <c r="B76" s="77" t="s">
        <v>0</v>
      </c>
      <c r="C76" s="126" t="s">
        <v>394</v>
      </c>
      <c r="D76" s="78">
        <v>11</v>
      </c>
      <c r="E76" s="78">
        <v>9</v>
      </c>
      <c r="F76" s="130" t="s">
        <v>275</v>
      </c>
      <c r="G76" s="78"/>
      <c r="H76" s="106"/>
      <c r="I76" s="134"/>
      <c r="J76" s="121"/>
      <c r="K76" s="120"/>
      <c r="L76" s="122"/>
    </row>
    <row r="77" spans="2:12" ht="63" x14ac:dyDescent="0.25">
      <c r="B77" s="77" t="s">
        <v>0</v>
      </c>
      <c r="C77" s="126" t="s">
        <v>470</v>
      </c>
      <c r="D77" s="78">
        <v>11</v>
      </c>
      <c r="E77" s="78">
        <v>10</v>
      </c>
      <c r="F77" s="130" t="s">
        <v>391</v>
      </c>
      <c r="G77" s="77" t="s">
        <v>388</v>
      </c>
      <c r="H77" s="106"/>
      <c r="I77" s="134"/>
      <c r="J77" s="121"/>
      <c r="K77" s="120"/>
      <c r="L77" s="122"/>
    </row>
    <row r="78" spans="2:12" ht="224.25" customHeight="1" x14ac:dyDescent="0.25">
      <c r="B78" s="77" t="s">
        <v>0</v>
      </c>
      <c r="C78" s="126" t="s">
        <v>471</v>
      </c>
      <c r="D78" s="78">
        <v>11</v>
      </c>
      <c r="E78" s="78">
        <v>5</v>
      </c>
      <c r="F78" s="130" t="s">
        <v>278</v>
      </c>
      <c r="G78" s="78"/>
      <c r="H78" s="106"/>
      <c r="I78" s="134"/>
      <c r="J78" s="121"/>
      <c r="K78" s="120"/>
      <c r="L78" s="122"/>
    </row>
    <row r="79" spans="2:12" ht="147" x14ac:dyDescent="0.25">
      <c r="B79" s="77" t="s">
        <v>0</v>
      </c>
      <c r="C79" s="126" t="s">
        <v>472</v>
      </c>
      <c r="D79" s="78">
        <v>12</v>
      </c>
      <c r="E79" s="78">
        <v>1</v>
      </c>
      <c r="F79" s="130" t="s">
        <v>279</v>
      </c>
      <c r="G79" s="78"/>
      <c r="H79" s="106"/>
      <c r="I79" s="134"/>
      <c r="J79" s="121"/>
      <c r="K79" s="120"/>
      <c r="L79" s="122"/>
    </row>
    <row r="80" spans="2:12" ht="126" x14ac:dyDescent="0.25">
      <c r="B80" s="77" t="s">
        <v>0</v>
      </c>
      <c r="C80" s="126" t="s">
        <v>473</v>
      </c>
      <c r="D80" s="78">
        <v>12</v>
      </c>
      <c r="E80" s="78">
        <v>2</v>
      </c>
      <c r="F80" s="130" t="s">
        <v>280</v>
      </c>
      <c r="G80" s="78"/>
      <c r="H80" s="106"/>
      <c r="I80" s="134"/>
      <c r="J80" s="121"/>
      <c r="K80" s="120"/>
      <c r="L80" s="122"/>
    </row>
    <row r="81" spans="2:12" ht="84" x14ac:dyDescent="0.25">
      <c r="B81" s="77" t="s">
        <v>0</v>
      </c>
      <c r="C81" s="126" t="s">
        <v>474</v>
      </c>
      <c r="D81" s="78">
        <v>12</v>
      </c>
      <c r="E81" s="78">
        <v>3</v>
      </c>
      <c r="F81" s="130" t="s">
        <v>281</v>
      </c>
      <c r="G81" s="78"/>
      <c r="H81" s="106"/>
      <c r="I81" s="134"/>
      <c r="J81" s="121"/>
      <c r="K81" s="120"/>
      <c r="L81" s="122"/>
    </row>
    <row r="82" spans="2:12" ht="84" x14ac:dyDescent="0.25">
      <c r="B82" s="77" t="s">
        <v>0</v>
      </c>
      <c r="C82" s="126" t="s">
        <v>475</v>
      </c>
      <c r="D82" s="78">
        <v>12</v>
      </c>
      <c r="E82" s="78">
        <v>4</v>
      </c>
      <c r="F82" s="130" t="s">
        <v>282</v>
      </c>
      <c r="G82" s="77" t="s">
        <v>388</v>
      </c>
      <c r="H82" s="106"/>
      <c r="I82" s="134"/>
      <c r="J82" s="121"/>
      <c r="K82" s="120"/>
      <c r="L82" s="122"/>
    </row>
    <row r="83" spans="2:12" ht="264.75" customHeight="1" x14ac:dyDescent="0.25">
      <c r="B83" s="77" t="s">
        <v>0</v>
      </c>
      <c r="C83" s="126" t="s">
        <v>476</v>
      </c>
      <c r="D83" s="78">
        <v>12</v>
      </c>
      <c r="E83" s="78">
        <v>5</v>
      </c>
      <c r="F83" s="130" t="s">
        <v>168</v>
      </c>
      <c r="G83" s="78"/>
      <c r="H83" s="106"/>
      <c r="I83" s="134"/>
      <c r="J83" s="121"/>
      <c r="K83" s="120"/>
      <c r="L83" s="122"/>
    </row>
    <row r="84" spans="2:12" ht="84" x14ac:dyDescent="0.25">
      <c r="B84" s="77" t="s">
        <v>0</v>
      </c>
      <c r="C84" s="126" t="s">
        <v>477</v>
      </c>
      <c r="D84" s="78">
        <v>12</v>
      </c>
      <c r="E84" s="78">
        <v>6</v>
      </c>
      <c r="F84" s="130" t="s">
        <v>170</v>
      </c>
      <c r="G84" s="78"/>
      <c r="H84" s="106"/>
      <c r="I84" s="134"/>
      <c r="J84" s="121"/>
      <c r="K84" s="120"/>
      <c r="L84" s="122"/>
    </row>
    <row r="85" spans="2:12" ht="84" x14ac:dyDescent="0.25">
      <c r="B85" s="77" t="s">
        <v>0</v>
      </c>
      <c r="C85" s="126" t="s">
        <v>478</v>
      </c>
      <c r="D85" s="78">
        <v>12</v>
      </c>
      <c r="E85" s="78">
        <v>7</v>
      </c>
      <c r="F85" s="130" t="s">
        <v>172</v>
      </c>
      <c r="G85" s="78"/>
      <c r="H85" s="106"/>
      <c r="I85" s="134"/>
      <c r="J85" s="121"/>
      <c r="K85" s="120"/>
      <c r="L85" s="122"/>
    </row>
    <row r="86" spans="2:12" ht="63" x14ac:dyDescent="0.25">
      <c r="B86" s="77" t="s">
        <v>0</v>
      </c>
      <c r="C86" s="126" t="s">
        <v>554</v>
      </c>
      <c r="D86" s="78">
        <v>13</v>
      </c>
      <c r="E86" s="78">
        <v>1</v>
      </c>
      <c r="F86" s="130" t="s">
        <v>174</v>
      </c>
      <c r="G86" s="78"/>
      <c r="H86" s="106"/>
      <c r="I86" s="134"/>
      <c r="J86" s="121"/>
      <c r="K86" s="120"/>
      <c r="L86" s="122"/>
    </row>
    <row r="87" spans="2:12" ht="84" x14ac:dyDescent="0.25">
      <c r="B87" s="77" t="s">
        <v>0</v>
      </c>
      <c r="C87" s="126" t="s">
        <v>555</v>
      </c>
      <c r="D87" s="78">
        <v>13</v>
      </c>
      <c r="E87" s="78">
        <v>2</v>
      </c>
      <c r="F87" s="130" t="s">
        <v>176</v>
      </c>
      <c r="G87" s="78"/>
      <c r="H87" s="106"/>
      <c r="I87" s="134"/>
      <c r="J87" s="121"/>
      <c r="K87" s="120"/>
      <c r="L87" s="122"/>
    </row>
    <row r="88" spans="2:12" ht="63" x14ac:dyDescent="0.25">
      <c r="B88" s="77" t="s">
        <v>0</v>
      </c>
      <c r="C88" s="126" t="s">
        <v>479</v>
      </c>
      <c r="D88" s="78">
        <v>13</v>
      </c>
      <c r="E88" s="78">
        <v>2</v>
      </c>
      <c r="F88" s="121" t="s">
        <v>179</v>
      </c>
      <c r="G88" s="77" t="s">
        <v>388</v>
      </c>
      <c r="H88" s="106"/>
      <c r="I88" s="134"/>
      <c r="J88" s="121"/>
      <c r="K88" s="120"/>
      <c r="L88" s="122"/>
    </row>
    <row r="89" spans="2:12" ht="168" x14ac:dyDescent="0.25">
      <c r="B89" s="77" t="s">
        <v>0</v>
      </c>
      <c r="C89" s="126" t="s">
        <v>480</v>
      </c>
      <c r="D89" s="78">
        <v>13</v>
      </c>
      <c r="E89" s="78">
        <v>2</v>
      </c>
      <c r="F89" s="121" t="s">
        <v>180</v>
      </c>
      <c r="G89" s="78"/>
      <c r="H89" s="106"/>
      <c r="I89" s="134"/>
      <c r="J89" s="121"/>
      <c r="K89" s="120"/>
      <c r="L89" s="122"/>
    </row>
    <row r="90" spans="2:12" ht="147" x14ac:dyDescent="0.25">
      <c r="B90" s="77" t="s">
        <v>0</v>
      </c>
      <c r="C90" s="126" t="s">
        <v>481</v>
      </c>
      <c r="D90" s="78">
        <v>13</v>
      </c>
      <c r="E90" s="78">
        <v>3</v>
      </c>
      <c r="F90" s="130" t="s">
        <v>182</v>
      </c>
      <c r="G90" s="78"/>
      <c r="H90" s="106"/>
      <c r="I90" s="134"/>
      <c r="J90" s="121"/>
      <c r="K90" s="120"/>
      <c r="L90" s="122"/>
    </row>
    <row r="91" spans="2:12" ht="105" x14ac:dyDescent="0.25">
      <c r="B91" s="77" t="s">
        <v>0</v>
      </c>
      <c r="C91" s="126" t="s">
        <v>482</v>
      </c>
      <c r="D91" s="78">
        <v>13</v>
      </c>
      <c r="E91" s="78">
        <v>4</v>
      </c>
      <c r="F91" s="130" t="s">
        <v>184</v>
      </c>
      <c r="G91" s="78"/>
      <c r="H91" s="106"/>
      <c r="I91" s="134"/>
      <c r="J91" s="121"/>
      <c r="K91" s="120"/>
      <c r="L91" s="122"/>
    </row>
    <row r="92" spans="2:12" ht="42" x14ac:dyDescent="0.25">
      <c r="B92" s="77" t="s">
        <v>0</v>
      </c>
      <c r="C92" s="126" t="s">
        <v>483</v>
      </c>
      <c r="D92" s="78">
        <v>13</v>
      </c>
      <c r="E92" s="78">
        <v>5</v>
      </c>
      <c r="F92" s="130" t="s">
        <v>186</v>
      </c>
      <c r="G92" s="78"/>
      <c r="H92" s="106"/>
      <c r="I92" s="134"/>
      <c r="J92" s="121"/>
      <c r="K92" s="120"/>
      <c r="L92" s="122"/>
    </row>
    <row r="93" spans="2:12" ht="156.75" customHeight="1" x14ac:dyDescent="0.25">
      <c r="B93" s="77" t="s">
        <v>0</v>
      </c>
      <c r="C93" s="126" t="s">
        <v>484</v>
      </c>
      <c r="D93" s="78">
        <v>13</v>
      </c>
      <c r="E93" s="78">
        <v>6</v>
      </c>
      <c r="F93" s="130" t="s">
        <v>188</v>
      </c>
      <c r="G93" s="78"/>
      <c r="H93" s="106"/>
      <c r="I93" s="134"/>
      <c r="J93" s="121"/>
      <c r="K93" s="120"/>
      <c r="L93" s="122"/>
    </row>
    <row r="94" spans="2:12" ht="105" x14ac:dyDescent="0.25">
      <c r="B94" s="77" t="s">
        <v>0</v>
      </c>
      <c r="C94" s="126" t="s">
        <v>485</v>
      </c>
      <c r="D94" s="78">
        <v>13</v>
      </c>
      <c r="E94" s="78">
        <v>7</v>
      </c>
      <c r="F94" s="130" t="s">
        <v>190</v>
      </c>
      <c r="G94" s="77" t="s">
        <v>388</v>
      </c>
      <c r="H94" s="106"/>
      <c r="I94" s="134"/>
      <c r="J94" s="121"/>
      <c r="K94" s="120"/>
      <c r="L94" s="122"/>
    </row>
    <row r="95" spans="2:12" ht="96" customHeight="1" x14ac:dyDescent="0.25">
      <c r="B95" s="77" t="s">
        <v>0</v>
      </c>
      <c r="C95" s="126" t="s">
        <v>486</v>
      </c>
      <c r="D95" s="78">
        <v>14</v>
      </c>
      <c r="E95" s="78">
        <v>1</v>
      </c>
      <c r="F95" s="130" t="s">
        <v>192</v>
      </c>
      <c r="G95" s="78"/>
      <c r="H95" s="106"/>
      <c r="I95" s="134"/>
      <c r="J95" s="121"/>
      <c r="K95" s="120"/>
      <c r="L95" s="122"/>
    </row>
    <row r="96" spans="2:12" ht="137.25" customHeight="1" x14ac:dyDescent="0.25">
      <c r="B96" s="77" t="s">
        <v>0</v>
      </c>
      <c r="C96" s="126" t="s">
        <v>487</v>
      </c>
      <c r="D96" s="78">
        <v>14</v>
      </c>
      <c r="E96" s="78">
        <v>2</v>
      </c>
      <c r="F96" s="130" t="s">
        <v>194</v>
      </c>
      <c r="G96" s="78"/>
      <c r="H96" s="106"/>
      <c r="I96" s="134"/>
      <c r="J96" s="121"/>
      <c r="K96" s="120"/>
      <c r="L96" s="122"/>
    </row>
    <row r="97" spans="2:12" ht="167.25" customHeight="1" x14ac:dyDescent="0.25">
      <c r="B97" s="77" t="s">
        <v>0</v>
      </c>
      <c r="C97" s="126" t="s">
        <v>488</v>
      </c>
      <c r="D97" s="78">
        <v>14</v>
      </c>
      <c r="E97" s="78">
        <v>3</v>
      </c>
      <c r="F97" s="130" t="s">
        <v>196</v>
      </c>
      <c r="G97" s="78"/>
      <c r="H97" s="106"/>
      <c r="I97" s="134"/>
      <c r="J97" s="121"/>
      <c r="K97" s="120"/>
      <c r="L97" s="122"/>
    </row>
    <row r="98" spans="2:12" ht="130" customHeight="1" x14ac:dyDescent="0.35">
      <c r="B98" s="77" t="inlineStr">
        <is>
          <t xml:space="preserve">ICT Risk management </t>
        </is>
      </c>
      <c r="C98" s="126" t="inlineStr">
        <is>
          <t xml:space="preserve">Has your organization assessed whether it qualifies as a small and non-interconnected entity (or otherwise qualifies for the simplified ICT risk-management framework) under Article 16 of DORA, and if so, is the simplified regime being applied and documented appropriately?</t>
        </is>
      </c>
      <c r="D98" s="78">
        <v>16</v>
      </c>
      <c r="E98" s="78">
        <v>1</v>
      </c>
      <c r="F98" s="130" t="inlineStr">
        <is>
          <t xml:space="preserve">Financial entities referred to in Article 16(1) (small and non-interconnected investment firms, small institutions for occupational retirement provision, and certain payment/electronic money institutions) may apply a simplified ICT risk management framework, subject to the requirements set out in the RTS specifying the elements of that simplified framework.</t>
        </is>
      </c>
      <c r="G98" s="78"/>
      <c r="H98" s="106"/>
      <c r="I98" s="134"/>
      <c r="J98" s="121"/>
      <c r="K98" s="120"/>
      <c r="L98" s="122"/>
    </row>
    <row r="110" spans="2:12" x14ac:dyDescent="0.25">
      <c r="C110" s="107"/>
      <c r="D110" s="107"/>
    </row>
    <row r="111" spans="2:12" x14ac:dyDescent="0.25">
      <c r="C111" s="107"/>
      <c r="D111" s="107"/>
    </row>
    <row r="112" spans="2:12" x14ac:dyDescent="0.25">
      <c r="C112" s="107"/>
      <c r="D112" s="107"/>
    </row>
    <row r="113" spans="3:7" x14ac:dyDescent="0.25">
      <c r="C113" s="107"/>
      <c r="D113" s="107"/>
      <c r="F113" s="107"/>
      <c r="G113" s="107"/>
    </row>
    <row r="114" spans="3:7" x14ac:dyDescent="0.25">
      <c r="C114" s="107"/>
      <c r="D114" s="107"/>
      <c r="F114" s="107"/>
      <c r="G114" s="107"/>
    </row>
    <row r="115" spans="3:7" x14ac:dyDescent="0.25">
      <c r="C115" s="107"/>
      <c r="D115" s="107"/>
      <c r="F115" s="107"/>
      <c r="G115" s="107"/>
    </row>
    <row r="116" spans="3:7" x14ac:dyDescent="0.25">
      <c r="C116" s="107"/>
      <c r="D116" s="107"/>
      <c r="F116" s="107"/>
      <c r="G116" s="107"/>
    </row>
    <row r="117" spans="3:7" x14ac:dyDescent="0.25">
      <c r="C117" s="107"/>
      <c r="D117" s="107"/>
      <c r="F117" s="107"/>
      <c r="G117" s="107"/>
    </row>
    <row r="118" spans="3:7" x14ac:dyDescent="0.25">
      <c r="C118" s="107"/>
      <c r="D118" s="107"/>
      <c r="F118" s="107"/>
      <c r="G118" s="107"/>
    </row>
    <row r="119" spans="3:7" x14ac:dyDescent="0.25">
      <c r="C119" s="107"/>
      <c r="F119" s="107"/>
      <c r="G119" s="107"/>
    </row>
    <row r="120" spans="3:7" x14ac:dyDescent="0.25">
      <c r="F120" s="107"/>
      <c r="G120" s="107"/>
    </row>
    <row r="121" spans="3:7" x14ac:dyDescent="0.25">
      <c r="F121" s="107"/>
      <c r="G121" s="107"/>
    </row>
    <row r="122" spans="3:7" x14ac:dyDescent="0.25">
      <c r="F122" s="107"/>
      <c r="G122" s="107"/>
    </row>
    <row r="123" spans="3:7" x14ac:dyDescent="0.25">
      <c r="F123" s="107"/>
      <c r="G123" s="107"/>
    </row>
    <row r="124" spans="3:7" x14ac:dyDescent="0.25">
      <c r="F124" s="107"/>
      <c r="G124" s="107"/>
    </row>
    <row r="125" spans="3:7" x14ac:dyDescent="0.25">
      <c r="F125" s="107"/>
      <c r="G125" s="107"/>
    </row>
    <row r="126" spans="3:7" x14ac:dyDescent="0.25">
      <c r="F126" s="107"/>
      <c r="G126" s="107"/>
    </row>
    <row r="127" spans="3:7" x14ac:dyDescent="0.25">
      <c r="F127" s="107"/>
      <c r="G127" s="107"/>
    </row>
    <row r="128" spans="3:7" x14ac:dyDescent="0.25">
      <c r="F128" s="107"/>
      <c r="G128" s="107"/>
    </row>
    <row r="129" spans="6:7" x14ac:dyDescent="0.25">
      <c r="F129" s="107"/>
      <c r="G129" s="107"/>
    </row>
  </sheetData>
  <sheetProtection sheet="1" sort="0"/>
  <conditionalFormatting sqref="J5:J98">
    <cfRule type="colorScale" priority="7">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8" operator="containsText" id="{8656CDA0-F417-4305-A17B-26ABE60CF3D9}">
            <xm:f>NOT(ISERROR(SEARCH(Sheet2!$B$5,H5)))</xm:f>
            <xm:f>Sheet2!$B$5</xm:f>
            <x14:dxf>
              <font>
                <color theme="0"/>
              </font>
              <fill>
                <patternFill>
                  <bgColor rgb="FFF8696B"/>
                </patternFill>
              </fill>
            </x14:dxf>
          </x14:cfRule>
          <x14:cfRule type="containsText" priority="9" operator="containsText" id="{44B10984-F6C5-4432-8328-A85A3283ACAB}">
            <xm:f>NOT(ISERROR(SEARCH(Sheet2!$B$4,H5)))</xm:f>
            <xm:f>Sheet2!$B$4</xm:f>
            <x14:dxf>
              <fill>
                <patternFill>
                  <bgColor rgb="FFFFEB84"/>
                </patternFill>
              </fill>
            </x14:dxf>
          </x14:cfRule>
          <x14:cfRule type="containsText" priority="10" operator="containsText" id="{E6E4C967-91FF-4950-8027-EB6C141B415E}">
            <xm:f>NOT(ISERROR(SEARCH(Sheet2!$B$3,H5)))</xm:f>
            <xm:f>Sheet2!$B$3</xm:f>
            <x14:dxf>
              <fill>
                <patternFill>
                  <bgColor rgb="FF63BE7B"/>
                </patternFill>
              </fill>
            </x14:dxf>
          </x14:cfRule>
          <xm:sqref>H5:H98</xm:sqref>
        </x14:conditionalFormatting>
        <x14:conditionalFormatting xmlns:xm="http://schemas.microsoft.com/office/excel/2006/main">
          <x14:cfRule type="containsText" priority="1" operator="containsText" id="{9FC81959-CE3B-4674-A29C-4D1B2467ADCC}">
            <xm:f>NOT(ISERROR(SEARCH(Sheet2!$F$3,K5)))</xm:f>
            <xm:f>Sheet2!$F$3</xm:f>
            <x14:dxf>
              <fill>
                <patternFill>
                  <bgColor rgb="FF63BE7B"/>
                </patternFill>
              </fill>
            </x14:dxf>
          </x14:cfRule>
          <x14:cfRule type="containsText" priority="2" operator="containsText" id="{5ADF6774-3A5E-4FB3-9D43-5E7C1174567D}">
            <xm:f>NOT(ISERROR(SEARCH(Sheet2!$F$4,K5)))</xm:f>
            <xm:f>Sheet2!$F$4</xm:f>
            <x14:dxf>
              <fill>
                <patternFill>
                  <bgColor rgb="FFFFEB84"/>
                </patternFill>
              </fill>
            </x14:dxf>
          </x14:cfRule>
          <x14:cfRule type="containsText" priority="3" operator="containsText" id="{C4EF4C7E-CE7C-41F3-AA65-C564195DA044}">
            <xm:f>NOT(ISERROR(SEARCH(Sheet2!$F$5,K5)))</xm:f>
            <xm:f>Sheet2!$F$5</xm:f>
            <x14:dxf>
              <font>
                <color theme="0"/>
              </font>
              <fill>
                <patternFill>
                  <bgColor rgb="FFF8696B"/>
                </patternFill>
              </fill>
            </x14:dxf>
          </x14:cfRule>
          <xm:sqref>K5:K98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35D1D92F-F430-4B38-B29B-8F50075AA79A}">
          <x14:formula1>
            <xm:f>Sheet2!$B$3:$B$5</xm:f>
          </x14:formula1>
          <xm:sqref>H5:H98</xm:sqref>
        </x14:dataValidation>
        <x14:dataValidation type="list" allowBlank="1" showInputMessage="1" showErrorMessage="1" xr:uid="{5C69AE04-8DB7-4711-8ED8-3723DB014927}">
          <x14:formula1>
            <xm:f>Sheet2!$D$3:$D$7</xm:f>
          </x14:formula1>
          <xm:sqref>J5:J98</xm:sqref>
        </x14:dataValidation>
        <x14:dataValidation type="list" allowBlank="1" showInputMessage="1" showErrorMessage="1" xr:uid="{89D7324E-F36A-4B12-8EEB-FC547A8B4735}">
          <x14:formula1>
            <xm:f>Sheet2!$F$3:$F$5</xm:f>
          </x14:formula1>
          <xm:sqref>K5:K98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01B5E-7B86-4B47-B794-D743212C3F2D}">
  <dimension ref="B1:L28"/>
  <sheetViews>
    <sheetView showGridLines="0" zoomScale="50" zoomScaleNormal="50" workbookViewId="0"/>
  </sheetViews>
  <sheetFormatPr defaultColWidth="19.7109375" defaultRowHeight="15" x14ac:dyDescent="0.25"/>
  <cols>
    <col min="1" max="1" width="19.7109375" style="85"/>
    <col min="2" max="2" width="54.5703125" style="85" customWidth="1"/>
    <col min="3" max="3" width="146.7109375" style="85" customWidth="1"/>
    <col min="4" max="4" width="16.28515625" style="85" customWidth="1"/>
    <col min="5" max="5" width="19.5703125" style="85" customWidth="1"/>
    <col min="6" max="6" width="122" style="85" customWidth="1"/>
    <col min="7" max="7" width="43" style="85" customWidth="1"/>
    <col min="8" max="8" width="42" style="85" customWidth="1"/>
    <col min="9" max="9" width="38.7109375" style="85" customWidth="1"/>
    <col min="10" max="10" width="19.7109375" style="85"/>
    <col min="11" max="11" width="68.7109375" style="85" customWidth="1"/>
    <col min="12" max="12" width="32.5703125" style="85" customWidth="1"/>
    <col min="13" max="16384" width="19.7109375" style="85"/>
  </cols>
  <sheetData>
    <row r="1" spans="2:12" ht="59.25" customHeight="1" x14ac:dyDescent="0.25"/>
    <row r="2" spans="2:12" ht="249.75" customHeight="1" x14ac:dyDescent="0.25"/>
    <row r="3" spans="2:12" ht="219" customHeight="1" thickBot="1" x14ac:dyDescent="0.3"/>
    <row r="4" spans="2:12" ht="42" customHeight="1" x14ac:dyDescent="0.25">
      <c r="F4" s="93" t="s">
        <v>389</v>
      </c>
    </row>
    <row r="5" spans="2:12" ht="70.150000000000006" customHeight="1" x14ac:dyDescent="0.25">
      <c r="B5" s="97" t="s">
        <v>106</v>
      </c>
      <c r="C5" s="97" t="s">
        <v>351</v>
      </c>
      <c r="D5" s="97" t="s">
        <v>95</v>
      </c>
      <c r="E5" s="97" t="s">
        <v>96</v>
      </c>
      <c r="F5" s="98" t="s">
        <v>534</v>
      </c>
      <c r="G5" s="98" t="s">
        <v>387</v>
      </c>
      <c r="H5" s="92" t="s">
        <v>353</v>
      </c>
      <c r="I5" s="92" t="s">
        <v>354</v>
      </c>
      <c r="J5" s="91" t="s">
        <v>283</v>
      </c>
      <c r="K5" s="116" t="s">
        <v>398</v>
      </c>
      <c r="L5" s="91" t="s">
        <v>355</v>
      </c>
    </row>
    <row r="6" spans="2:12" ht="42" x14ac:dyDescent="0.35">
      <c r="B6" s="81" t="s">
        <v>161</v>
      </c>
      <c r="C6" s="108" t="s">
        <v>556</v>
      </c>
      <c r="D6" s="96">
        <v>17</v>
      </c>
      <c r="E6" s="81">
        <v>1</v>
      </c>
      <c r="F6" s="111" t="s">
        <v>361</v>
      </c>
      <c r="G6" s="94"/>
      <c r="H6" s="105"/>
      <c r="I6" s="83"/>
      <c r="J6" s="77"/>
      <c r="K6" s="120"/>
      <c r="L6" s="74"/>
    </row>
    <row r="7" spans="2:12" ht="105" x14ac:dyDescent="0.35">
      <c r="B7" s="77" t="s">
        <v>161</v>
      </c>
      <c r="C7" s="109" t="s">
        <v>139</v>
      </c>
      <c r="D7" s="78">
        <v>17</v>
      </c>
      <c r="E7" s="77">
        <v>2</v>
      </c>
      <c r="F7" s="112" t="s">
        <v>496</v>
      </c>
      <c r="G7" s="72"/>
      <c r="H7" s="105"/>
      <c r="I7" s="83"/>
      <c r="J7" s="77"/>
      <c r="K7" s="120"/>
      <c r="L7" s="74"/>
    </row>
    <row r="8" spans="2:12" ht="105" x14ac:dyDescent="0.35">
      <c r="B8" s="77" t="s">
        <v>161</v>
      </c>
      <c r="C8" s="109" t="s">
        <v>557</v>
      </c>
      <c r="D8" s="78">
        <v>17</v>
      </c>
      <c r="E8" s="77">
        <v>2</v>
      </c>
      <c r="F8" s="112" t="s">
        <v>496</v>
      </c>
      <c r="G8" s="72"/>
      <c r="H8" s="105"/>
      <c r="I8" s="83"/>
      <c r="J8" s="77"/>
      <c r="K8" s="120"/>
      <c r="L8" s="74"/>
    </row>
    <row r="9" spans="2:12" ht="105" x14ac:dyDescent="0.35">
      <c r="B9" s="77" t="s">
        <v>161</v>
      </c>
      <c r="C9" s="109" t="s">
        <v>402</v>
      </c>
      <c r="D9" s="78">
        <v>17</v>
      </c>
      <c r="E9" s="77">
        <v>2</v>
      </c>
      <c r="F9" s="112" t="s">
        <v>496</v>
      </c>
      <c r="G9" s="72"/>
      <c r="H9" s="105"/>
      <c r="I9" s="83"/>
      <c r="J9" s="77"/>
      <c r="K9" s="120"/>
      <c r="L9" s="74"/>
    </row>
    <row r="10" spans="2:12" ht="42" x14ac:dyDescent="0.35">
      <c r="B10" s="77" t="s">
        <v>161</v>
      </c>
      <c r="C10" s="109" t="s">
        <v>403</v>
      </c>
      <c r="D10" s="78">
        <v>17</v>
      </c>
      <c r="E10" s="77">
        <v>3</v>
      </c>
      <c r="F10" s="112" t="s">
        <v>363</v>
      </c>
      <c r="G10" s="72"/>
      <c r="H10" s="105"/>
      <c r="I10" s="83"/>
      <c r="J10" s="77"/>
      <c r="K10" s="120"/>
      <c r="L10" s="74"/>
    </row>
    <row r="11" spans="2:12" ht="63" x14ac:dyDescent="0.35">
      <c r="B11" s="77" t="s">
        <v>161</v>
      </c>
      <c r="C11" s="109" t="s">
        <v>558</v>
      </c>
      <c r="D11" s="78">
        <v>17</v>
      </c>
      <c r="E11" s="77">
        <v>3</v>
      </c>
      <c r="F11" s="112" t="s">
        <v>500</v>
      </c>
      <c r="G11" s="72"/>
      <c r="H11" s="105"/>
      <c r="I11" s="83"/>
      <c r="J11" s="77"/>
      <c r="K11" s="120"/>
      <c r="L11" s="74"/>
    </row>
    <row r="12" spans="2:12" ht="63" x14ac:dyDescent="0.35">
      <c r="B12" s="77" t="s">
        <v>161</v>
      </c>
      <c r="C12" s="109" t="s">
        <v>404</v>
      </c>
      <c r="D12" s="78">
        <v>17</v>
      </c>
      <c r="E12" s="77">
        <v>3</v>
      </c>
      <c r="F12" s="112" t="s">
        <v>365</v>
      </c>
      <c r="G12" s="72"/>
      <c r="H12" s="105"/>
      <c r="I12" s="83"/>
      <c r="J12" s="77"/>
      <c r="K12" s="120"/>
      <c r="L12" s="74"/>
    </row>
    <row r="13" spans="2:12" ht="84" x14ac:dyDescent="0.35">
      <c r="B13" s="77" t="s">
        <v>161</v>
      </c>
      <c r="C13" s="109" t="s">
        <v>559</v>
      </c>
      <c r="D13" s="78">
        <v>17</v>
      </c>
      <c r="E13" s="77">
        <v>3</v>
      </c>
      <c r="F13" s="112" t="s">
        <v>366</v>
      </c>
      <c r="G13" s="72"/>
      <c r="H13" s="105"/>
      <c r="I13" s="83"/>
      <c r="J13" s="77"/>
      <c r="K13" s="120"/>
      <c r="L13" s="74"/>
    </row>
    <row r="14" spans="2:12" ht="84" x14ac:dyDescent="0.35">
      <c r="B14" s="77" t="s">
        <v>161</v>
      </c>
      <c r="C14" s="109" t="s">
        <v>405</v>
      </c>
      <c r="D14" s="78">
        <v>17</v>
      </c>
      <c r="E14" s="77">
        <v>3</v>
      </c>
      <c r="F14" s="112" t="s">
        <v>366</v>
      </c>
      <c r="G14" s="72"/>
      <c r="H14" s="105"/>
      <c r="I14" s="83"/>
      <c r="J14" s="77"/>
      <c r="K14" s="120"/>
      <c r="L14" s="74"/>
    </row>
    <row r="15" spans="2:12" ht="84" x14ac:dyDescent="0.35">
      <c r="B15" s="77" t="s">
        <v>161</v>
      </c>
      <c r="C15" s="109" t="s">
        <v>406</v>
      </c>
      <c r="D15" s="78">
        <v>17</v>
      </c>
      <c r="E15" s="77">
        <v>3</v>
      </c>
      <c r="F15" s="112" t="s">
        <v>367</v>
      </c>
      <c r="G15" s="72"/>
      <c r="H15" s="105"/>
      <c r="I15" s="83"/>
      <c r="J15" s="77"/>
      <c r="K15" s="120"/>
      <c r="L15" s="74"/>
    </row>
    <row r="16" spans="2:12" ht="84" x14ac:dyDescent="0.35">
      <c r="B16" s="77" t="s">
        <v>161</v>
      </c>
      <c r="C16" s="109" t="s">
        <v>560</v>
      </c>
      <c r="D16" s="78">
        <v>17</v>
      </c>
      <c r="E16" s="77">
        <v>3</v>
      </c>
      <c r="F16" s="112" t="s">
        <v>367</v>
      </c>
      <c r="G16" s="72"/>
      <c r="H16" s="105"/>
      <c r="I16" s="83"/>
      <c r="J16" s="77"/>
      <c r="K16" s="120"/>
      <c r="L16" s="74"/>
    </row>
    <row r="17" spans="2:12" ht="42" x14ac:dyDescent="0.35">
      <c r="B17" s="77" t="s">
        <v>161</v>
      </c>
      <c r="C17" s="109" t="s">
        <v>407</v>
      </c>
      <c r="D17" s="78">
        <v>17</v>
      </c>
      <c r="E17" s="77">
        <v>3</v>
      </c>
      <c r="F17" s="112" t="s">
        <v>497</v>
      </c>
      <c r="G17" s="72"/>
      <c r="H17" s="105"/>
      <c r="I17" s="83"/>
      <c r="J17" s="77"/>
      <c r="K17" s="120"/>
      <c r="L17" s="74"/>
    </row>
    <row r="18" spans="2:12" ht="294" x14ac:dyDescent="0.35">
      <c r="B18" s="77" t="s">
        <v>161</v>
      </c>
      <c r="C18" s="109" t="s">
        <v>408</v>
      </c>
      <c r="D18" s="78">
        <v>18</v>
      </c>
      <c r="E18" s="77">
        <v>1</v>
      </c>
      <c r="F18" s="112" t="s">
        <v>371</v>
      </c>
      <c r="G18" s="72"/>
      <c r="H18" s="105"/>
      <c r="I18" s="83"/>
      <c r="J18" s="77"/>
      <c r="K18" s="120"/>
      <c r="L18" s="74"/>
    </row>
    <row r="19" spans="2:12" ht="84" x14ac:dyDescent="0.35">
      <c r="B19" s="77" t="s">
        <v>161</v>
      </c>
      <c r="C19" s="109" t="s">
        <v>409</v>
      </c>
      <c r="D19" s="78">
        <v>18</v>
      </c>
      <c r="E19" s="77">
        <v>2</v>
      </c>
      <c r="F19" s="112" t="s">
        <v>498</v>
      </c>
      <c r="G19" s="72"/>
      <c r="H19" s="105"/>
      <c r="I19" s="83"/>
      <c r="J19" s="77"/>
      <c r="K19" s="120"/>
      <c r="L19" s="82"/>
    </row>
    <row r="20" spans="2:12" ht="42" x14ac:dyDescent="0.35">
      <c r="B20" s="77" t="s">
        <v>161</v>
      </c>
      <c r="C20" s="109" t="s">
        <v>410</v>
      </c>
      <c r="D20" s="78">
        <v>19</v>
      </c>
      <c r="E20" s="77">
        <v>1</v>
      </c>
      <c r="F20" s="113" t="s">
        <v>374</v>
      </c>
      <c r="G20" s="72"/>
      <c r="H20" s="105"/>
      <c r="I20" s="83"/>
      <c r="J20" s="77"/>
      <c r="K20" s="120"/>
      <c r="L20" s="74"/>
    </row>
    <row r="21" spans="2:12" ht="84" x14ac:dyDescent="0.35">
      <c r="B21" s="77" t="s">
        <v>161</v>
      </c>
      <c r="C21" s="109" t="s">
        <v>411</v>
      </c>
      <c r="D21" s="78">
        <v>19</v>
      </c>
      <c r="E21" s="77">
        <v>2</v>
      </c>
      <c r="F21" s="112" t="s">
        <v>499</v>
      </c>
      <c r="G21" s="72" t="s">
        <v>593</v>
      </c>
      <c r="H21" s="105"/>
      <c r="I21" s="83"/>
      <c r="J21" s="77"/>
      <c r="K21" s="120"/>
      <c r="L21" s="74"/>
    </row>
    <row r="22" spans="2:12" ht="84" x14ac:dyDescent="0.35">
      <c r="B22" s="77" t="s">
        <v>161</v>
      </c>
      <c r="C22" s="109" t="s">
        <v>412</v>
      </c>
      <c r="D22" s="78">
        <v>19</v>
      </c>
      <c r="E22" s="77">
        <v>3</v>
      </c>
      <c r="F22" s="113" t="s">
        <v>377</v>
      </c>
      <c r="G22" s="72"/>
      <c r="H22" s="105"/>
      <c r="I22" s="83"/>
      <c r="J22" s="77"/>
      <c r="K22" s="120"/>
      <c r="L22" s="74"/>
    </row>
    <row r="23" spans="2:12" ht="189" x14ac:dyDescent="0.35">
      <c r="B23" s="77" t="s">
        <v>161</v>
      </c>
      <c r="C23" s="109" t="s">
        <v>561</v>
      </c>
      <c r="D23" s="78">
        <v>19</v>
      </c>
      <c r="E23" s="77">
        <v>4</v>
      </c>
      <c r="F23" s="112" t="s">
        <v>378</v>
      </c>
      <c r="G23" s="72"/>
      <c r="H23" s="105"/>
      <c r="I23" s="83"/>
      <c r="J23" s="77"/>
      <c r="K23" s="120"/>
      <c r="L23" s="74"/>
    </row>
    <row r="24" spans="2:12" ht="147" x14ac:dyDescent="0.35">
      <c r="B24" s="77" t="s">
        <v>161</v>
      </c>
      <c r="C24" s="109" t="s">
        <v>413</v>
      </c>
      <c r="D24" s="78">
        <v>19</v>
      </c>
      <c r="E24" s="77">
        <v>4</v>
      </c>
      <c r="F24" s="113" t="s">
        <v>379</v>
      </c>
      <c r="G24" s="72"/>
      <c r="H24" s="105"/>
      <c r="I24" s="83"/>
      <c r="J24" s="77"/>
      <c r="K24" s="120"/>
      <c r="L24" s="74"/>
    </row>
    <row r="25" spans="2:12" ht="120" customHeight="1" x14ac:dyDescent="0.35">
      <c r="B25" s="77" t="inlineStr">
        <is>
          <t xml:space="preserve">ICT-related incident management </t>
        </is>
      </c>
      <c r="C25" s="109" t="inlineStr">
        <is>
          <t xml:space="preserve">Does your organization classify major ICT-related incidents without undue delay (in practice within 24 hours of detection) and submit the initial notification to the competent authority within 4 hours of that classification, in line with the finalised incident-reporting timelines (Commission Delegated Regulation (EU) 2025/301)?</t>
        </is>
      </c>
      <c r="D25" s="78">
        <v>19</v>
      </c>
      <c r="E25" s="77">
        <v>5</v>
      </c>
      <c r="F25" s="112" t="inlineStr">
        <is>
          <t xml:space="preserve">The regulatory technical standards referred to in Article 20 specify the time limits for the initial notification, intermediate report and final report on major ICT-related incidents. These finalised timelines require initial notification within 4 hours of classification, an intermediate report within 72 hours, and a final report within one month.</t>
        </is>
      </c>
      <c r="G25" s="72"/>
      <c r="H25" s="105"/>
      <c r="I25" s="83"/>
      <c r="J25" s="77"/>
      <c r="K25" s="120"/>
      <c r="L25" s="74"/>
    </row>
    <row r="26" spans="2:12" ht="120" customHeight="1" x14ac:dyDescent="0.35">
      <c r="B26" s="77" t="inlineStr">
        <is>
          <t xml:space="preserve">ICT-related incident management </t>
        </is>
      </c>
      <c r="C26" s="109" t="inlineStr">
        <is>
          <t xml:space="preserve">Does your organization use the harmonised initial, intermediate and final incident-notification templates set out in the finalised ITS on incident reporting (Commission Implementing Regulation (EU) 2025/302) when reporting major ICT-related incidents to the competent authority?</t>
        </is>
      </c>
      <c r="D26" s="78">
        <v>19</v>
      </c>
      <c r="E26" s="77">
        <v>6</v>
      </c>
      <c r="F26" s="112" t="inlineStr">
        <is>
          <t xml:space="preserve">The implementing technical standards referred to in Article 20 establish standard forms, templates and procedures for financial entities to notify a major ICT-related incident and to submit the relevant report.</t>
        </is>
      </c>
      <c r="G26" s="72"/>
      <c r="H26" s="105"/>
      <c r="I26" s="83"/>
      <c r="J26" s="77"/>
      <c r="K26" s="120"/>
      <c r="L26" s="74"/>
    </row>
    <row r="27" spans="2:12" ht="100" customHeight="1" x14ac:dyDescent="0.35">
      <c r="B27" s="79" t="inlineStr">
        <is>
          <t xml:space="preserve">ICT-related incident management </t>
        </is>
      </c>
      <c r="C27" s="110" t="inlineStr">
        <is>
          <t xml:space="preserve">If your organization is a credit institution, payment institution, account information service provider, or electronic money institution, does it apply the same ICT-related incident management, classification and reporting requirements set out in this Chapter (Articles 17-22) to its operational or security payment-related incidents, including major operational or security payment-related incidents?</t>
        </is>
      </c>
      <c r="D27" s="80">
        <v>23</v>
      </c>
      <c r="E27" s="79">
        <v>1</v>
      </c>
      <c r="F27" s="112" t="inlineStr">
        <is>
          <t xml:space="preserve">The requirements laid down in this Chapter shall also apply to operational or security payment-related incidents and to major operational or security payment-related incidents, where they concern credit institutions, payment institutions, account information service providers, and electronic money institutions.</t>
        </is>
      </c>
      <c r="G27" s="75"/>
      <c r="H27" s="105"/>
      <c r="I27" s="84"/>
      <c r="J27" s="77"/>
      <c r="K27" s="120"/>
      <c r="L27" s="76"/>
    </row>
    <row r="28" spans="2:12" ht="409.6" customHeight="1" x14ac:dyDescent="0.25"/>
  </sheetData>
  <sheetProtection sheet="1" objects="1" scenarios="1"/>
  <conditionalFormatting sqref="J6:J27">
    <cfRule type="colorScale" priority="10">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75AF45DD-4540-4C74-9FBD-C8C58D038BD3}">
            <xm:f>NOT(ISERROR(SEARCH(Sheet2!$B$5,H6)))</xm:f>
            <xm:f>Sheet2!$B$5</xm:f>
            <x14:dxf>
              <font>
                <color theme="0"/>
              </font>
              <fill>
                <patternFill>
                  <bgColor rgb="FFF8696B"/>
                </patternFill>
              </fill>
            </x14:dxf>
          </x14:cfRule>
          <x14:cfRule type="containsText" priority="5" operator="containsText" id="{19810F82-2330-4663-B62F-C345EC0989BB}">
            <xm:f>NOT(ISERROR(SEARCH(Sheet2!$B$4,H6)))</xm:f>
            <xm:f>Sheet2!$B$4</xm:f>
            <x14:dxf>
              <fill>
                <patternFill>
                  <bgColor rgb="FFFFEB84"/>
                </patternFill>
              </fill>
            </x14:dxf>
          </x14:cfRule>
          <x14:cfRule type="containsText" priority="6" operator="containsText" id="{66D72D16-F5D5-47B8-A5A0-4E65EF95D13E}">
            <xm:f>NOT(ISERROR(SEARCH(Sheet2!$B$3,H6)))</xm:f>
            <xm:f>Sheet2!$B$3</xm:f>
            <x14:dxf>
              <fill>
                <patternFill>
                  <bgColor rgb="FF63BE7B"/>
                </patternFill>
              </fill>
            </x14:dxf>
          </x14:cfRule>
          <xm:sqref>H6:H27</xm:sqref>
        </x14:conditionalFormatting>
        <x14:conditionalFormatting xmlns:xm="http://schemas.microsoft.com/office/excel/2006/main">
          <x14:cfRule type="containsText" priority="1" operator="containsText" id="{17752408-FCF6-40BB-97AF-400A871AEF11}">
            <xm:f>NOT(ISERROR(SEARCH(Sheet2!$F$3,K6)))</xm:f>
            <xm:f>Sheet2!$F$3</xm:f>
            <x14:dxf>
              <fill>
                <patternFill>
                  <bgColor rgb="FF63BE7B"/>
                </patternFill>
              </fill>
            </x14:dxf>
          </x14:cfRule>
          <x14:cfRule type="containsText" priority="2" operator="containsText" id="{E11E47B5-F48C-45CD-9E9A-A5CE0828BB33}">
            <xm:f>NOT(ISERROR(SEARCH(Sheet2!$F$4,K6)))</xm:f>
            <xm:f>Sheet2!$F$4</xm:f>
            <x14:dxf>
              <fill>
                <patternFill>
                  <bgColor rgb="FFFFEB84"/>
                </patternFill>
              </fill>
            </x14:dxf>
          </x14:cfRule>
          <x14:cfRule type="containsText" priority="3" operator="containsText" id="{3749BD11-5FD0-4B2E-A658-92F33B838D23}">
            <xm:f>NOT(ISERROR(SEARCH(Sheet2!$F$5,K6)))</xm:f>
            <xm:f>Sheet2!$F$5</xm:f>
            <x14:dxf>
              <font>
                <color theme="0"/>
              </font>
              <fill>
                <patternFill>
                  <bgColor rgb="FFF8696B"/>
                </patternFill>
              </fill>
            </x14:dxf>
          </x14:cfRule>
          <xm:sqref>K6:K27</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E8B53C7F-22F0-4D23-BBCB-B30E6BC50EE2}">
          <x14:formula1>
            <xm:f>Sheet2!$B$3:$B$5</xm:f>
          </x14:formula1>
          <xm:sqref>H6:H27</xm:sqref>
        </x14:dataValidation>
        <x14:dataValidation type="list" allowBlank="1" showInputMessage="1" showErrorMessage="1" xr:uid="{4A6A73D9-A203-4FF9-8BFC-4CC03EDF139B}">
          <x14:formula1>
            <xm:f>Sheet2!$D$3:$D$7</xm:f>
          </x14:formula1>
          <xm:sqref>J6:J27</xm:sqref>
        </x14:dataValidation>
        <x14:dataValidation type="list" allowBlank="1" showInputMessage="1" showErrorMessage="1" xr:uid="{421DE276-9D29-45BA-B0FD-6C81EB1717D5}">
          <x14:formula1>
            <xm:f>Sheet2!$F$3:$F$5</xm:f>
          </x14:formula1>
          <xm:sqref>K6:K27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377AE-5765-4C89-A170-99245D76A1EE}">
  <dimension ref="B6:L19"/>
  <sheetViews>
    <sheetView showGridLines="0" zoomScale="50" zoomScaleNormal="50" workbookViewId="0"/>
  </sheetViews>
  <sheetFormatPr defaultColWidth="9.28515625" defaultRowHeight="15" x14ac:dyDescent="0.25"/>
  <cols>
    <col min="1" max="1" width="9.28515625" style="85"/>
    <col min="2" max="2" width="50.7109375" style="85" customWidth="1"/>
    <col min="3" max="3" width="93.42578125" style="85" customWidth="1"/>
    <col min="4" max="4" width="19.7109375" style="85" bestFit="1" customWidth="1"/>
    <col min="5" max="5" width="19.42578125" style="85" bestFit="1" customWidth="1"/>
    <col min="6" max="6" width="133.28515625" style="85" customWidth="1"/>
    <col min="7" max="7" width="45.5703125" style="85" bestFit="1" customWidth="1"/>
    <col min="8" max="8" width="48.42578125" style="85" customWidth="1"/>
    <col min="9" max="9" width="44.28515625" style="85" customWidth="1"/>
    <col min="10" max="10" width="39.7109375" style="85" customWidth="1"/>
    <col min="11" max="11" width="55.7109375" style="85" customWidth="1"/>
    <col min="12" max="12" width="34.28515625" style="85" customWidth="1"/>
    <col min="13" max="16384" width="9.28515625" style="85"/>
  </cols>
  <sheetData>
    <row r="6" spans="2:12" ht="409.5" customHeight="1" thickBot="1" x14ac:dyDescent="0.3"/>
    <row r="7" spans="2:12" ht="57.75" customHeight="1" x14ac:dyDescent="0.25">
      <c r="F7" s="93" t="s">
        <v>389</v>
      </c>
    </row>
    <row r="8" spans="2:12" ht="70.150000000000006" customHeight="1" x14ac:dyDescent="0.25">
      <c r="B8" s="114" t="s">
        <v>106</v>
      </c>
      <c r="C8" s="114" t="s">
        <v>351</v>
      </c>
      <c r="D8" s="114" t="s">
        <v>95</v>
      </c>
      <c r="E8" s="114" t="s">
        <v>96</v>
      </c>
      <c r="F8" s="98" t="s">
        <v>534</v>
      </c>
      <c r="G8" s="115" t="s">
        <v>387</v>
      </c>
      <c r="H8" s="116" t="s">
        <v>353</v>
      </c>
      <c r="I8" s="116" t="s">
        <v>354</v>
      </c>
      <c r="J8" s="116" t="s">
        <v>283</v>
      </c>
      <c r="K8" s="116" t="s">
        <v>398</v>
      </c>
      <c r="L8" s="116" t="s">
        <v>355</v>
      </c>
    </row>
    <row r="9" spans="2:12" ht="105" x14ac:dyDescent="0.25">
      <c r="B9" s="77" t="s">
        <v>162</v>
      </c>
      <c r="C9" s="126" t="s">
        <v>562</v>
      </c>
      <c r="D9" s="78">
        <v>24</v>
      </c>
      <c r="E9" s="78">
        <v>1</v>
      </c>
      <c r="F9" s="127" t="s">
        <v>503</v>
      </c>
      <c r="G9" s="72" t="s">
        <v>544</v>
      </c>
      <c r="H9" s="105"/>
      <c r="I9" s="83"/>
      <c r="J9" s="77"/>
      <c r="K9" s="120"/>
      <c r="L9" s="78"/>
    </row>
    <row r="10" spans="2:12" ht="63" x14ac:dyDescent="0.25">
      <c r="B10" s="77" t="s">
        <v>162</v>
      </c>
      <c r="C10" s="126" t="s">
        <v>563</v>
      </c>
      <c r="D10" s="78">
        <v>24</v>
      </c>
      <c r="E10" s="78">
        <v>2</v>
      </c>
      <c r="F10" s="127" t="s">
        <v>502</v>
      </c>
      <c r="G10" s="72"/>
      <c r="H10" s="105"/>
      <c r="I10" s="83"/>
      <c r="J10" s="77"/>
      <c r="K10" s="120"/>
      <c r="L10" s="78"/>
    </row>
    <row r="11" spans="2:12" ht="231" x14ac:dyDescent="0.25">
      <c r="B11" s="77" t="s">
        <v>162</v>
      </c>
      <c r="C11" s="126" t="s">
        <v>399</v>
      </c>
      <c r="D11" s="78">
        <v>24</v>
      </c>
      <c r="E11" s="78">
        <v>3</v>
      </c>
      <c r="F11" s="77" t="s">
        <v>383</v>
      </c>
      <c r="G11" s="72" t="s">
        <v>544</v>
      </c>
      <c r="H11" s="105"/>
      <c r="I11" s="83"/>
      <c r="J11" s="77"/>
      <c r="K11" s="120"/>
      <c r="L11" s="78"/>
    </row>
    <row r="12" spans="2:12" ht="84" x14ac:dyDescent="0.25">
      <c r="B12" s="77" t="s">
        <v>162</v>
      </c>
      <c r="C12" s="126" t="s">
        <v>156</v>
      </c>
      <c r="D12" s="78">
        <v>24</v>
      </c>
      <c r="E12" s="78">
        <v>4</v>
      </c>
      <c r="F12" s="127" t="s">
        <v>501</v>
      </c>
      <c r="G12" s="72" t="s">
        <v>544</v>
      </c>
      <c r="H12" s="105"/>
      <c r="I12" s="83"/>
      <c r="J12" s="77"/>
      <c r="K12" s="120"/>
      <c r="L12" s="78"/>
    </row>
    <row r="13" spans="2:12" ht="84" x14ac:dyDescent="0.25">
      <c r="B13" s="77" t="s">
        <v>162</v>
      </c>
      <c r="C13" s="126" t="s">
        <v>157</v>
      </c>
      <c r="D13" s="78">
        <v>24</v>
      </c>
      <c r="E13" s="78">
        <v>4</v>
      </c>
      <c r="F13" s="127" t="s">
        <v>501</v>
      </c>
      <c r="G13" s="72" t="s">
        <v>544</v>
      </c>
      <c r="H13" s="105"/>
      <c r="I13" s="83"/>
      <c r="J13" s="77"/>
      <c r="K13" s="120"/>
      <c r="L13" s="78"/>
    </row>
    <row r="14" spans="2:12" ht="84" x14ac:dyDescent="0.25">
      <c r="B14" s="77" t="s">
        <v>162</v>
      </c>
      <c r="C14" s="126" t="s">
        <v>564</v>
      </c>
      <c r="D14" s="78">
        <v>24</v>
      </c>
      <c r="E14" s="78">
        <v>5</v>
      </c>
      <c r="F14" s="127" t="s">
        <v>532</v>
      </c>
      <c r="G14" s="72" t="s">
        <v>544</v>
      </c>
      <c r="H14" s="105"/>
      <c r="I14" s="83"/>
      <c r="J14" s="77"/>
      <c r="K14" s="120"/>
      <c r="L14" s="78"/>
    </row>
    <row r="15" spans="2:12" ht="84" x14ac:dyDescent="0.25">
      <c r="B15" s="77" t="s">
        <v>162</v>
      </c>
      <c r="C15" s="126" t="s">
        <v>400</v>
      </c>
      <c r="D15" s="78">
        <v>24</v>
      </c>
      <c r="E15" s="78">
        <v>5</v>
      </c>
      <c r="F15" s="127" t="s">
        <v>532</v>
      </c>
      <c r="G15" s="72" t="s">
        <v>544</v>
      </c>
      <c r="H15" s="105"/>
      <c r="I15" s="83"/>
      <c r="J15" s="77"/>
      <c r="K15" s="120"/>
      <c r="L15" s="78"/>
    </row>
    <row r="16" spans="2:12" ht="42" x14ac:dyDescent="0.25">
      <c r="B16" s="77" t="s">
        <v>162</v>
      </c>
      <c r="C16" s="126" t="s">
        <v>401</v>
      </c>
      <c r="D16" s="78">
        <v>24</v>
      </c>
      <c r="E16" s="78">
        <v>6</v>
      </c>
      <c r="F16" s="77" t="s">
        <v>386</v>
      </c>
      <c r="G16" s="72" t="s">
        <v>544</v>
      </c>
      <c r="H16" s="105"/>
      <c r="I16" s="83"/>
      <c r="J16" s="77"/>
      <c r="K16" s="120"/>
      <c r="L16" s="78"/>
    </row>
    <row r="17" spans="2:12" ht="130" customHeight="1" x14ac:dyDescent="0.35">
      <c r="B17" s="77" t="inlineStr">
        <is>
          <t xml:space="preserve">Digital operational resilience testing</t>
        </is>
      </c>
      <c r="C17" s="126" t="inlineStr">
        <is>
          <t xml:space="preserve">Does your organization's testing programme include the required range of assessments and tests for ICT systems and applications supporting critical or important functions (e.g. vulnerability assessments, open-source analyses, network security assessments, physical security reviews, scenario-based tests, and end-to-end/penetration testing), performed at least yearly, in line with Article 25?</t>
        </is>
      </c>
      <c r="D17" s="78">
        <v>25</v>
      </c>
      <c r="E17" s="78">
        <v>1</v>
      </c>
      <c r="F17" s="127" t="inlineStr">
        <is>
          <t xml:space="preserve">Digital operational resilience testing of ICT tools and systems as referred to in Article 24(6) shall be performed by means of a range of tests, including vulnerability assessments and scans, open source analyses, network security assessments, gap analyses, physical security reviews, questionnaires and scanning software solutions, source code reviews where feasible, scenario-based tests, compatibility testing, performance testing, end-to-end testing and penetration testing.</t>
        </is>
      </c>
      <c r="G17" s="72"/>
      <c r="H17" s="105"/>
      <c r="I17" s="83"/>
      <c r="J17" s="77"/>
      <c r="K17" s="120"/>
      <c r="L17" s="78"/>
    </row>
    <row r="18" spans="2:12" ht="130" customHeight="1" x14ac:dyDescent="0.35">
      <c r="B18" s="77" t="inlineStr">
        <is>
          <t xml:space="preserve">Digital operational resilience testing</t>
        </is>
      </c>
      <c r="C18" s="126" t="inlineStr">
        <is>
          <t xml:space="preserve">Has your organization confirmed with its competent authority whether it falls within scope for mandatory threat-led penetration testing (TLPT), and if so, does it carry out TLPT at least every 3 years, covering the critical or important functions on live production systems and including relevant ICT third-party service providers, in line with Article 26 and the finalised TLPT technical standards?</t>
        </is>
      </c>
      <c r="D18" s="78">
        <v>26</v>
      </c>
      <c r="E18" s="78">
        <v>1</v>
      </c>
      <c r="F18" s="127" t="inlineStr">
        <is>
          <t xml:space="preserve">Financial entities identified in accordance with Article 26(8) shall carry out advanced testing by means of TLPT at least every 3 years. The TLPT shall cover several or all critical or important functions and shall be performed on live production systems, and its scope shall include ICT third-party service providers supporting those functions where the financial entity has concluded contractual arrangements with them.</t>
        </is>
      </c>
      <c r="G18" s="72"/>
      <c r="H18" s="105"/>
      <c r="I18" s="83"/>
      <c r="J18" s="77"/>
      <c r="K18" s="120"/>
      <c r="L18" s="78"/>
    </row>
    <row r="19" spans="2:12" ht="130" customHeight="1" x14ac:dyDescent="0.35">
      <c r="B19" s="77" t="inlineStr">
        <is>
          <t xml:space="preserve">Digital operational resilience testing</t>
        </is>
      </c>
      <c r="C19" s="126" t="inlineStr">
        <is>
          <t xml:space="preserve">Does your organization only use TLPT testers who are certified by a recognised professional body, hold the necessary technical and organisational capabilities, and carry appropriate professional indemnity insurance, with agreements covering the sound management and confidentiality of test results, in line with Article 27?</t>
        </is>
      </c>
      <c r="D19" s="78">
        <v>27</v>
      </c>
      <c r="E19" s="78">
        <v>1</v>
      </c>
      <c r="F19" s="127" t="inlineStr">
        <is>
          <t xml:space="preserve">For the carrying out of TLPT, financial entities shall use only testers that possess the necessary suitability and reputation, technical and organisational capabilities, and specific certification or adherence to codes of conduct or ethical frameworks, and hold professional indemnity insurance. Agreements with testers shall ensure sound management and confidentiality of the TLPT results.</t>
        </is>
      </c>
      <c r="G19" s="72"/>
      <c r="H19" s="105"/>
      <c r="I19" s="83"/>
      <c r="J19" s="77"/>
      <c r="K19" s="120"/>
      <c r="L19" s="78"/>
    </row>
  </sheetData>
  <sheetProtection sheet="1" objects="1" scenarios="1"/>
  <conditionalFormatting sqref="J9:J19">
    <cfRule type="colorScale" priority="13">
      <colorScale>
        <cfvo type="num" val="1"/>
        <cfvo type="num" val="3"/>
        <cfvo type="num" val="5"/>
        <color rgb="FFF8696B"/>
        <color rgb="FFFFEB84"/>
        <color rgb="FF63BE7B"/>
      </colorScale>
    </cfRule>
  </conditionalFormatting>
  <pageMargins left="0.7" right="0.7" top="0.75" bottom="0.75" header="0.3" footer="0.3"/>
  <pageSetup paperSize="9"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A014D3B7-6B20-4B6E-A6C1-89C56CED2329}">
            <xm:f>NOT(ISERROR(SEARCH(Sheet2!$B$5,H9)))</xm:f>
            <xm:f>Sheet2!$B$5</xm:f>
            <x14:dxf>
              <font>
                <color theme="0"/>
              </font>
              <fill>
                <patternFill>
                  <bgColor rgb="FFF8696B"/>
                </patternFill>
              </fill>
            </x14:dxf>
          </x14:cfRule>
          <x14:cfRule type="containsText" priority="5" operator="containsText" id="{884659F2-0C70-4EB3-A464-587A30ABD115}">
            <xm:f>NOT(ISERROR(SEARCH(Sheet2!$B$4,H9)))</xm:f>
            <xm:f>Sheet2!$B$4</xm:f>
            <x14:dxf>
              <fill>
                <patternFill>
                  <bgColor rgb="FFFFEB84"/>
                </patternFill>
              </fill>
            </x14:dxf>
          </x14:cfRule>
          <x14:cfRule type="containsText" priority="6" operator="containsText" id="{A970C7DA-D0ED-435E-B963-CBA8985AA9BF}">
            <xm:f>NOT(ISERROR(SEARCH(Sheet2!$B$3,H9)))</xm:f>
            <xm:f>Sheet2!$B$3</xm:f>
            <x14:dxf>
              <fill>
                <patternFill>
                  <bgColor rgb="FF63BE7B"/>
                </patternFill>
              </fill>
            </x14:dxf>
          </x14:cfRule>
          <xm:sqref>H9:H19</xm:sqref>
        </x14:conditionalFormatting>
        <x14:conditionalFormatting xmlns:xm="http://schemas.microsoft.com/office/excel/2006/main">
          <x14:cfRule type="containsText" priority="1" operator="containsText" id="{DF4E6971-7CC5-4884-88F5-3AF485E75EEA}">
            <xm:f>NOT(ISERROR(SEARCH(Sheet2!$F$3,K9)))</xm:f>
            <xm:f>Sheet2!$F$3</xm:f>
            <x14:dxf>
              <fill>
                <patternFill>
                  <bgColor rgb="FF63BE7B"/>
                </patternFill>
              </fill>
            </x14:dxf>
          </x14:cfRule>
          <x14:cfRule type="containsText" priority="2" operator="containsText" id="{A632AC81-E7B3-411F-B5A6-950889C3E511}">
            <xm:f>NOT(ISERROR(SEARCH(Sheet2!$F$4,K9)))</xm:f>
            <xm:f>Sheet2!$F$4</xm:f>
            <x14:dxf>
              <fill>
                <patternFill>
                  <bgColor rgb="FFFFEB84"/>
                </patternFill>
              </fill>
            </x14:dxf>
          </x14:cfRule>
          <x14:cfRule type="containsText" priority="3" operator="containsText" id="{6A674BB5-2D46-41EE-BB96-989E9270CD2B}">
            <xm:f>NOT(ISERROR(SEARCH(Sheet2!$F$5,K9)))</xm:f>
            <xm:f>Sheet2!$F$5</xm:f>
            <x14:dxf>
              <font>
                <color theme="0"/>
              </font>
              <fill>
                <patternFill>
                  <bgColor rgb="FFF8696B"/>
                </patternFill>
              </fill>
            </x14:dxf>
          </x14:cfRule>
          <xm:sqref>K9:K19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93CAD5AD-5A74-41C0-8637-A3F371148F6E}">
          <x14:formula1>
            <xm:f>Sheet2!$B$3:$B$5</xm:f>
          </x14:formula1>
          <xm:sqref>H9:H19</xm:sqref>
        </x14:dataValidation>
        <x14:dataValidation type="list" allowBlank="1" showInputMessage="1" showErrorMessage="1" xr:uid="{B2173D5E-B179-4431-AF22-C580C536D66F}">
          <x14:formula1>
            <xm:f>Sheet2!$D$3:$D$7</xm:f>
          </x14:formula1>
          <xm:sqref>J9:J19</xm:sqref>
        </x14:dataValidation>
        <x14:dataValidation type="list" allowBlank="1" showInputMessage="1" showErrorMessage="1" xr:uid="{FC7A4D5B-DA35-4BB1-9779-3CFC8F78638D}">
          <x14:formula1>
            <xm:f>Sheet2!$F$3:$F$5</xm:f>
          </x14:formula1>
          <xm:sqref>K9:K19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D7E3C-3DA7-468B-95AE-2287BAD27F80}">
  <dimension ref="A1:L51"/>
  <sheetViews>
    <sheetView showGridLines="0" zoomScale="50" zoomScaleNormal="50" workbookViewId="0"/>
  </sheetViews>
  <sheetFormatPr defaultColWidth="9.28515625" defaultRowHeight="15" x14ac:dyDescent="0.25"/>
  <cols>
    <col min="1" max="1" width="9.28515625" style="85"/>
    <col min="2" max="2" width="51.28515625" style="85" customWidth="1"/>
    <col min="3" max="3" width="142.140625" style="85" customWidth="1"/>
    <col min="4" max="4" width="20.28515625" style="85" bestFit="1" customWidth="1"/>
    <col min="5" max="5" width="19.42578125" style="85" bestFit="1" customWidth="1"/>
    <col min="6" max="6" width="152.5703125" style="85" customWidth="1"/>
    <col min="7" max="7" width="57.28515625" style="85" customWidth="1"/>
    <col min="8" max="8" width="53.42578125" style="85" bestFit="1" customWidth="1"/>
    <col min="9" max="9" width="43.42578125" style="85" bestFit="1" customWidth="1"/>
    <col min="10" max="10" width="28.42578125" style="85" bestFit="1" customWidth="1"/>
    <col min="11" max="11" width="66.5703125" style="85" customWidth="1"/>
    <col min="12" max="12" width="58.28515625" style="85" customWidth="1"/>
    <col min="13" max="16384" width="9.28515625" style="85"/>
  </cols>
  <sheetData>
    <row r="1" spans="1:12" ht="62.25" customHeight="1" x14ac:dyDescent="0.25">
      <c r="A1" s="143">
        <v>0</v>
      </c>
    </row>
    <row r="2" spans="1:12" ht="409.6" customHeight="1" x14ac:dyDescent="0.25"/>
    <row r="3" spans="1:12" ht="15.75" thickBot="1" x14ac:dyDescent="0.3"/>
    <row r="4" spans="1:12" ht="68.25" customHeight="1" x14ac:dyDescent="0.25">
      <c r="F4" s="100" t="s">
        <v>389</v>
      </c>
    </row>
    <row r="5" spans="1:12" ht="70.150000000000006" customHeight="1" x14ac:dyDescent="0.25">
      <c r="B5" s="97" t="s">
        <v>106</v>
      </c>
      <c r="C5" s="97" t="s">
        <v>351</v>
      </c>
      <c r="D5" s="97" t="s">
        <v>95</v>
      </c>
      <c r="E5" s="97" t="s">
        <v>96</v>
      </c>
      <c r="F5" s="98" t="s">
        <v>534</v>
      </c>
      <c r="G5" s="98" t="s">
        <v>387</v>
      </c>
      <c r="H5" s="95" t="s">
        <v>353</v>
      </c>
      <c r="I5" s="102" t="s">
        <v>354</v>
      </c>
      <c r="J5" s="102" t="s">
        <v>283</v>
      </c>
      <c r="K5" s="102" t="s">
        <v>398</v>
      </c>
      <c r="L5" s="103" t="s">
        <v>355</v>
      </c>
    </row>
    <row r="6" spans="1:12" ht="63" x14ac:dyDescent="0.25">
      <c r="B6" s="101" t="s">
        <v>107</v>
      </c>
      <c r="C6" s="101" t="s">
        <v>414</v>
      </c>
      <c r="D6" s="101">
        <v>28</v>
      </c>
      <c r="E6" s="101">
        <v>1</v>
      </c>
      <c r="F6" s="101" t="s">
        <v>288</v>
      </c>
      <c r="G6" s="101"/>
      <c r="H6" s="105"/>
      <c r="I6" s="132"/>
      <c r="J6" s="81"/>
      <c r="K6" s="120"/>
      <c r="L6" s="99"/>
    </row>
    <row r="7" spans="1:12" ht="84" x14ac:dyDescent="0.25">
      <c r="B7" s="70" t="s">
        <v>107</v>
      </c>
      <c r="C7" s="70" t="s">
        <v>91</v>
      </c>
      <c r="D7" s="70">
        <v>28</v>
      </c>
      <c r="E7" s="70">
        <v>1</v>
      </c>
      <c r="F7" s="70" t="s">
        <v>289</v>
      </c>
      <c r="G7" s="70"/>
      <c r="H7" s="105"/>
      <c r="I7" s="83"/>
      <c r="J7" s="77"/>
      <c r="K7" s="120"/>
      <c r="L7" s="74"/>
    </row>
    <row r="8" spans="1:12" ht="201" customHeight="1" x14ac:dyDescent="0.25">
      <c r="B8" s="70" t="s">
        <v>107</v>
      </c>
      <c r="C8" s="70" t="s">
        <v>565</v>
      </c>
      <c r="D8" s="70">
        <v>28</v>
      </c>
      <c r="E8" s="70">
        <v>1</v>
      </c>
      <c r="F8" s="70" t="s">
        <v>290</v>
      </c>
      <c r="G8" s="70"/>
      <c r="H8" s="105"/>
      <c r="I8" s="83"/>
      <c r="J8" s="77"/>
      <c r="K8" s="120"/>
      <c r="L8" s="74"/>
    </row>
    <row r="9" spans="1:12" ht="168" x14ac:dyDescent="0.25">
      <c r="B9" s="70" t="s">
        <v>107</v>
      </c>
      <c r="C9" s="70" t="s">
        <v>415</v>
      </c>
      <c r="D9" s="70">
        <v>28</v>
      </c>
      <c r="E9" s="70">
        <v>1</v>
      </c>
      <c r="F9" s="70" t="s">
        <v>290</v>
      </c>
      <c r="G9" s="70"/>
      <c r="H9" s="105"/>
      <c r="I9" s="83"/>
      <c r="J9" s="77"/>
      <c r="K9" s="120"/>
      <c r="L9" s="74"/>
    </row>
    <row r="10" spans="1:12" ht="84" x14ac:dyDescent="0.25">
      <c r="B10" s="70" t="s">
        <v>107</v>
      </c>
      <c r="C10" s="70" t="s">
        <v>416</v>
      </c>
      <c r="D10" s="70">
        <v>28</v>
      </c>
      <c r="E10" s="70">
        <v>1</v>
      </c>
      <c r="F10" s="70" t="s">
        <v>291</v>
      </c>
      <c r="G10" s="70"/>
      <c r="H10" s="105"/>
      <c r="I10" s="83"/>
      <c r="J10" s="77"/>
      <c r="K10" s="120"/>
      <c r="L10" s="74"/>
    </row>
    <row r="11" spans="1:12" ht="231" x14ac:dyDescent="0.25">
      <c r="B11" s="70" t="s">
        <v>107</v>
      </c>
      <c r="C11" s="70" t="s">
        <v>417</v>
      </c>
      <c r="D11" s="70">
        <v>28</v>
      </c>
      <c r="E11" s="70">
        <v>2</v>
      </c>
      <c r="F11" s="70" t="s">
        <v>293</v>
      </c>
      <c r="G11" s="70" t="s">
        <v>390</v>
      </c>
      <c r="H11" s="105"/>
      <c r="I11" s="83"/>
      <c r="J11" s="77"/>
      <c r="K11" s="120"/>
      <c r="L11" s="74"/>
    </row>
    <row r="12" spans="1:12" ht="231" x14ac:dyDescent="0.25">
      <c r="B12" s="70" t="s">
        <v>107</v>
      </c>
      <c r="C12" s="70" t="s">
        <v>418</v>
      </c>
      <c r="D12" s="70">
        <v>28</v>
      </c>
      <c r="E12" s="70">
        <v>2</v>
      </c>
      <c r="F12" s="70" t="s">
        <v>293</v>
      </c>
      <c r="G12" s="70" t="s">
        <v>390</v>
      </c>
      <c r="H12" s="105"/>
      <c r="I12" s="83"/>
      <c r="J12" s="77"/>
      <c r="K12" s="120"/>
      <c r="L12" s="74"/>
    </row>
    <row r="13" spans="1:12" ht="231" x14ac:dyDescent="0.25">
      <c r="B13" s="70" t="s">
        <v>107</v>
      </c>
      <c r="C13" s="70" t="s">
        <v>419</v>
      </c>
      <c r="D13" s="70">
        <v>28</v>
      </c>
      <c r="E13" s="70">
        <v>2</v>
      </c>
      <c r="F13" s="70" t="s">
        <v>293</v>
      </c>
      <c r="G13" s="70" t="s">
        <v>390</v>
      </c>
      <c r="H13" s="105"/>
      <c r="I13" s="83"/>
      <c r="J13" s="77"/>
      <c r="K13" s="120"/>
      <c r="L13" s="74"/>
    </row>
    <row r="14" spans="1:12" ht="84" x14ac:dyDescent="0.25">
      <c r="B14" s="70" t="s">
        <v>107</v>
      </c>
      <c r="C14" s="70" t="s">
        <v>420</v>
      </c>
      <c r="D14" s="70">
        <v>28</v>
      </c>
      <c r="E14" s="70">
        <v>3</v>
      </c>
      <c r="F14" s="70" t="s">
        <v>297</v>
      </c>
      <c r="G14" s="70"/>
      <c r="H14" s="105"/>
      <c r="I14" s="83"/>
      <c r="J14" s="77"/>
      <c r="K14" s="120"/>
      <c r="L14" s="74"/>
    </row>
    <row r="15" spans="1:12" ht="63" x14ac:dyDescent="0.25">
      <c r="B15" s="70" t="s">
        <v>107</v>
      </c>
      <c r="C15" s="70" t="s">
        <v>421</v>
      </c>
      <c r="D15" s="70">
        <v>28</v>
      </c>
      <c r="E15" s="70">
        <v>3</v>
      </c>
      <c r="F15" s="70" t="s">
        <v>299</v>
      </c>
      <c r="G15" s="70"/>
      <c r="H15" s="105"/>
      <c r="I15" s="83"/>
      <c r="J15" s="77"/>
      <c r="K15" s="120"/>
      <c r="L15" s="74"/>
    </row>
    <row r="16" spans="1:12" ht="84" x14ac:dyDescent="0.25">
      <c r="B16" s="70" t="s">
        <v>107</v>
      </c>
      <c r="C16" s="70" t="s">
        <v>422</v>
      </c>
      <c r="D16" s="70">
        <v>28</v>
      </c>
      <c r="E16" s="70">
        <v>3</v>
      </c>
      <c r="F16" s="70" t="s">
        <v>301</v>
      </c>
      <c r="G16" s="70"/>
      <c r="H16" s="105"/>
      <c r="I16" s="83"/>
      <c r="J16" s="77"/>
      <c r="K16" s="120"/>
      <c r="L16" s="74"/>
    </row>
    <row r="17" spans="2:12" ht="63" x14ac:dyDescent="0.25">
      <c r="B17" s="70" t="s">
        <v>107</v>
      </c>
      <c r="C17" s="70" t="s">
        <v>423</v>
      </c>
      <c r="D17" s="70">
        <v>28</v>
      </c>
      <c r="E17" s="70">
        <v>3</v>
      </c>
      <c r="F17" s="70" t="s">
        <v>303</v>
      </c>
      <c r="G17" s="70"/>
      <c r="H17" s="105"/>
      <c r="I17" s="83"/>
      <c r="J17" s="77"/>
      <c r="K17" s="120"/>
      <c r="L17" s="74"/>
    </row>
    <row r="18" spans="2:12" ht="63" x14ac:dyDescent="0.25">
      <c r="B18" s="70" t="s">
        <v>107</v>
      </c>
      <c r="C18" s="70" t="s">
        <v>424</v>
      </c>
      <c r="D18" s="70">
        <v>28</v>
      </c>
      <c r="E18" s="70">
        <v>3</v>
      </c>
      <c r="F18" s="70" t="s">
        <v>304</v>
      </c>
      <c r="G18" s="70"/>
      <c r="H18" s="105"/>
      <c r="I18" s="83"/>
      <c r="J18" s="77"/>
      <c r="K18" s="120"/>
      <c r="L18" s="74"/>
    </row>
    <row r="19" spans="2:12" ht="252" x14ac:dyDescent="0.25">
      <c r="B19" s="70" t="s">
        <v>107</v>
      </c>
      <c r="C19" s="70" t="s">
        <v>547</v>
      </c>
      <c r="D19" s="70">
        <v>28</v>
      </c>
      <c r="E19" s="70">
        <v>4</v>
      </c>
      <c r="F19" s="70" t="s">
        <v>426</v>
      </c>
      <c r="G19" s="70"/>
      <c r="H19" s="105"/>
      <c r="I19" s="83"/>
      <c r="J19" s="77"/>
      <c r="K19" s="120"/>
      <c r="L19" s="74"/>
    </row>
    <row r="20" spans="2:12" ht="126" x14ac:dyDescent="0.25">
      <c r="B20" s="70" t="s">
        <v>107</v>
      </c>
      <c r="C20" s="70" t="s">
        <v>425</v>
      </c>
      <c r="D20" s="70">
        <v>28</v>
      </c>
      <c r="E20" s="70">
        <v>5</v>
      </c>
      <c r="F20" s="70" t="s">
        <v>309</v>
      </c>
      <c r="G20" s="70"/>
      <c r="H20" s="105"/>
      <c r="I20" s="83"/>
      <c r="J20" s="77"/>
      <c r="K20" s="120"/>
      <c r="L20" s="74"/>
    </row>
    <row r="21" spans="2:12" ht="105" x14ac:dyDescent="0.25">
      <c r="B21" s="70" t="s">
        <v>107</v>
      </c>
      <c r="C21" s="70" t="s">
        <v>566</v>
      </c>
      <c r="D21" s="70">
        <v>28</v>
      </c>
      <c r="E21" s="70">
        <v>6</v>
      </c>
      <c r="F21" s="70" t="s">
        <v>311</v>
      </c>
      <c r="G21" s="70"/>
      <c r="H21" s="105"/>
      <c r="I21" s="83"/>
      <c r="J21" s="77"/>
      <c r="K21" s="120"/>
      <c r="L21" s="74"/>
    </row>
    <row r="22" spans="2:12" ht="84" x14ac:dyDescent="0.25">
      <c r="B22" s="70" t="s">
        <v>107</v>
      </c>
      <c r="C22" s="70" t="s">
        <v>427</v>
      </c>
      <c r="D22" s="70">
        <v>28</v>
      </c>
      <c r="E22" s="70">
        <v>6</v>
      </c>
      <c r="F22" s="70" t="s">
        <v>312</v>
      </c>
      <c r="G22" s="70"/>
      <c r="H22" s="105"/>
      <c r="I22" s="83"/>
      <c r="J22" s="77"/>
      <c r="K22" s="120"/>
      <c r="L22" s="74"/>
    </row>
    <row r="23" spans="2:12" ht="315" x14ac:dyDescent="0.25">
      <c r="B23" s="70" t="s">
        <v>107</v>
      </c>
      <c r="C23" s="70" t="s">
        <v>428</v>
      </c>
      <c r="D23" s="70">
        <v>28</v>
      </c>
      <c r="E23" s="70">
        <v>7</v>
      </c>
      <c r="F23" s="70" t="s">
        <v>314</v>
      </c>
      <c r="G23" s="70"/>
      <c r="H23" s="105"/>
      <c r="I23" s="83"/>
      <c r="J23" s="77"/>
      <c r="K23" s="120"/>
      <c r="L23" s="74"/>
    </row>
    <row r="24" spans="2:12" ht="409.5" x14ac:dyDescent="0.25">
      <c r="B24" s="70" t="s">
        <v>107</v>
      </c>
      <c r="C24" s="70" t="s">
        <v>429</v>
      </c>
      <c r="D24" s="70">
        <v>28</v>
      </c>
      <c r="E24" s="70">
        <v>8</v>
      </c>
      <c r="F24" s="70" t="s">
        <v>317</v>
      </c>
      <c r="G24" s="70"/>
      <c r="H24" s="105"/>
      <c r="I24" s="83"/>
      <c r="J24" s="77"/>
      <c r="K24" s="120"/>
      <c r="L24" s="74"/>
    </row>
    <row r="25" spans="2:12" ht="84" x14ac:dyDescent="0.25">
      <c r="B25" s="70" t="s">
        <v>107</v>
      </c>
      <c r="C25" s="70" t="s">
        <v>430</v>
      </c>
      <c r="D25" s="70">
        <v>28</v>
      </c>
      <c r="E25" s="70">
        <v>8</v>
      </c>
      <c r="F25" s="70" t="s">
        <v>319</v>
      </c>
      <c r="G25" s="70"/>
      <c r="H25" s="105"/>
      <c r="I25" s="83"/>
      <c r="J25" s="77"/>
      <c r="K25" s="120"/>
      <c r="L25" s="74"/>
    </row>
    <row r="26" spans="2:12" ht="42" x14ac:dyDescent="0.25">
      <c r="B26" s="70" t="s">
        <v>107</v>
      </c>
      <c r="C26" s="70" t="s">
        <v>431</v>
      </c>
      <c r="D26" s="70">
        <v>28</v>
      </c>
      <c r="E26" s="70">
        <v>8</v>
      </c>
      <c r="F26" s="70" t="s">
        <v>321</v>
      </c>
      <c r="G26" s="70"/>
      <c r="H26" s="105"/>
      <c r="I26" s="83"/>
      <c r="J26" s="77"/>
      <c r="K26" s="120"/>
      <c r="L26" s="74"/>
    </row>
    <row r="27" spans="2:12" ht="231" x14ac:dyDescent="0.25">
      <c r="B27" s="70" t="s">
        <v>107</v>
      </c>
      <c r="C27" s="70" t="s">
        <v>432</v>
      </c>
      <c r="D27" s="70">
        <v>29</v>
      </c>
      <c r="E27" s="70">
        <v>1</v>
      </c>
      <c r="F27" s="70" t="s">
        <v>322</v>
      </c>
      <c r="G27" s="70"/>
      <c r="H27" s="105"/>
      <c r="I27" s="83"/>
      <c r="J27" s="77"/>
      <c r="K27" s="120"/>
      <c r="L27" s="74"/>
    </row>
    <row r="28" spans="2:12" ht="84" x14ac:dyDescent="0.25">
      <c r="B28" s="70" t="s">
        <v>107</v>
      </c>
      <c r="C28" s="70" t="s">
        <v>433</v>
      </c>
      <c r="D28" s="70">
        <v>29</v>
      </c>
      <c r="E28" s="70">
        <v>2</v>
      </c>
      <c r="F28" s="70" t="s">
        <v>509</v>
      </c>
      <c r="G28" s="70"/>
      <c r="H28" s="105"/>
      <c r="I28" s="83"/>
      <c r="J28" s="77"/>
      <c r="K28" s="120"/>
      <c r="L28" s="74"/>
    </row>
    <row r="29" spans="2:12" ht="63" x14ac:dyDescent="0.25">
      <c r="B29" s="70" t="s">
        <v>107</v>
      </c>
      <c r="C29" s="70" t="s">
        <v>512</v>
      </c>
      <c r="D29" s="70">
        <v>29</v>
      </c>
      <c r="E29" s="70">
        <v>2</v>
      </c>
      <c r="F29" s="70" t="s">
        <v>508</v>
      </c>
      <c r="G29" s="70"/>
      <c r="H29" s="105"/>
      <c r="I29" s="83"/>
      <c r="J29" s="77"/>
      <c r="K29" s="120"/>
      <c r="L29" s="74"/>
    </row>
    <row r="30" spans="2:12" ht="84" x14ac:dyDescent="0.25">
      <c r="B30" s="70" t="s">
        <v>107</v>
      </c>
      <c r="C30" s="70" t="s">
        <v>507</v>
      </c>
      <c r="D30" s="70">
        <v>29</v>
      </c>
      <c r="E30" s="70">
        <v>2</v>
      </c>
      <c r="F30" s="70" t="s">
        <v>504</v>
      </c>
      <c r="G30" s="70"/>
      <c r="H30" s="105"/>
      <c r="I30" s="83"/>
      <c r="J30" s="77"/>
      <c r="K30" s="120"/>
      <c r="L30" s="74"/>
    </row>
    <row r="31" spans="2:12" ht="105" x14ac:dyDescent="0.25">
      <c r="B31" s="70" t="s">
        <v>107</v>
      </c>
      <c r="C31" s="70" t="s">
        <v>511</v>
      </c>
      <c r="D31" s="70">
        <v>29</v>
      </c>
      <c r="E31" s="70">
        <v>2</v>
      </c>
      <c r="F31" s="70" t="s">
        <v>510</v>
      </c>
      <c r="G31" s="70"/>
      <c r="H31" s="105"/>
      <c r="I31" s="83"/>
      <c r="J31" s="77"/>
      <c r="K31" s="120"/>
      <c r="L31" s="74"/>
    </row>
    <row r="32" spans="2:12" ht="84" x14ac:dyDescent="0.25">
      <c r="B32" s="70" t="s">
        <v>107</v>
      </c>
      <c r="C32" s="70" t="s">
        <v>525</v>
      </c>
      <c r="D32" s="70">
        <v>30</v>
      </c>
      <c r="E32" s="70">
        <v>1</v>
      </c>
      <c r="F32" s="70" t="s">
        <v>506</v>
      </c>
      <c r="G32" s="70"/>
      <c r="H32" s="105"/>
      <c r="I32" s="83"/>
      <c r="J32" s="77"/>
      <c r="K32" s="120"/>
      <c r="L32" s="74"/>
    </row>
    <row r="33" spans="2:12" ht="84" x14ac:dyDescent="0.25">
      <c r="B33" s="117" t="s">
        <v>107</v>
      </c>
      <c r="C33" s="70" t="s">
        <v>546</v>
      </c>
      <c r="D33" s="70">
        <v>30</v>
      </c>
      <c r="E33" s="70" t="s">
        <v>505</v>
      </c>
      <c r="F33" s="127" t="s">
        <v>513</v>
      </c>
      <c r="G33" s="73"/>
      <c r="H33" s="105"/>
      <c r="I33" s="83"/>
      <c r="J33" s="77"/>
      <c r="K33" s="120"/>
      <c r="L33" s="74"/>
    </row>
    <row r="34" spans="2:12" ht="103.5" customHeight="1" x14ac:dyDescent="0.25">
      <c r="B34" s="117" t="s">
        <v>107</v>
      </c>
      <c r="C34" s="70" t="s">
        <v>434</v>
      </c>
      <c r="D34" s="70">
        <v>30</v>
      </c>
      <c r="E34" s="70" t="s">
        <v>514</v>
      </c>
      <c r="F34" s="70" t="s">
        <v>331</v>
      </c>
      <c r="G34" s="70"/>
      <c r="H34" s="105"/>
      <c r="I34" s="83"/>
      <c r="J34" s="77"/>
      <c r="K34" s="120"/>
      <c r="L34" s="74"/>
    </row>
    <row r="35" spans="2:12" ht="42" x14ac:dyDescent="0.25">
      <c r="B35" s="117" t="s">
        <v>107</v>
      </c>
      <c r="C35" s="70" t="s">
        <v>567</v>
      </c>
      <c r="D35" s="70">
        <v>30</v>
      </c>
      <c r="E35" s="70" t="s">
        <v>515</v>
      </c>
      <c r="F35" s="70" t="s">
        <v>333</v>
      </c>
      <c r="G35" s="70"/>
      <c r="H35" s="105"/>
      <c r="I35" s="83"/>
      <c r="J35" s="77"/>
      <c r="K35" s="120"/>
      <c r="L35" s="74"/>
    </row>
    <row r="36" spans="2:12" ht="99.75" customHeight="1" x14ac:dyDescent="0.25">
      <c r="B36" s="117" t="s">
        <v>107</v>
      </c>
      <c r="C36" s="70" t="s">
        <v>435</v>
      </c>
      <c r="D36" s="70">
        <v>30</v>
      </c>
      <c r="E36" s="70" t="s">
        <v>516</v>
      </c>
      <c r="F36" s="70" t="s">
        <v>335</v>
      </c>
      <c r="G36" s="70"/>
      <c r="H36" s="105"/>
      <c r="I36" s="83"/>
      <c r="J36" s="77"/>
      <c r="K36" s="120"/>
      <c r="L36" s="74"/>
    </row>
    <row r="37" spans="2:12" ht="21" x14ac:dyDescent="0.25">
      <c r="B37" s="117" t="s">
        <v>107</v>
      </c>
      <c r="C37" s="70" t="s">
        <v>436</v>
      </c>
      <c r="D37" s="70">
        <v>30</v>
      </c>
      <c r="E37" s="70" t="s">
        <v>517</v>
      </c>
      <c r="F37" s="70" t="s">
        <v>337</v>
      </c>
      <c r="G37" s="70"/>
      <c r="H37" s="105"/>
      <c r="I37" s="83"/>
      <c r="J37" s="77"/>
      <c r="K37" s="120"/>
      <c r="L37" s="74"/>
    </row>
    <row r="38" spans="2:12" ht="63" x14ac:dyDescent="0.25">
      <c r="B38" s="117" t="s">
        <v>107</v>
      </c>
      <c r="C38" s="70" t="s">
        <v>437</v>
      </c>
      <c r="D38" s="70">
        <v>30</v>
      </c>
      <c r="E38" s="70" t="s">
        <v>518</v>
      </c>
      <c r="F38" s="70" t="s">
        <v>339</v>
      </c>
      <c r="G38" s="70"/>
      <c r="H38" s="105"/>
      <c r="I38" s="83"/>
      <c r="J38" s="77"/>
      <c r="K38" s="120"/>
      <c r="L38" s="74"/>
    </row>
    <row r="39" spans="2:12" ht="42" x14ac:dyDescent="0.25">
      <c r="B39" s="117" t="s">
        <v>107</v>
      </c>
      <c r="C39" s="70" t="s">
        <v>438</v>
      </c>
      <c r="D39" s="70">
        <v>30</v>
      </c>
      <c r="E39" s="70" t="s">
        <v>519</v>
      </c>
      <c r="F39" s="70" t="s">
        <v>340</v>
      </c>
      <c r="G39" s="70"/>
      <c r="H39" s="105"/>
      <c r="I39" s="83"/>
      <c r="J39" s="77"/>
      <c r="K39" s="120"/>
      <c r="L39" s="74"/>
    </row>
    <row r="40" spans="2:12" ht="42" x14ac:dyDescent="0.25">
      <c r="B40" s="117" t="s">
        <v>107</v>
      </c>
      <c r="C40" s="70" t="s">
        <v>439</v>
      </c>
      <c r="D40" s="70">
        <v>30</v>
      </c>
      <c r="E40" s="70" t="s">
        <v>520</v>
      </c>
      <c r="F40" s="70" t="s">
        <v>341</v>
      </c>
      <c r="G40" s="70"/>
      <c r="H40" s="105"/>
      <c r="I40" s="83"/>
      <c r="J40" s="77"/>
      <c r="K40" s="120"/>
      <c r="L40" s="74"/>
    </row>
    <row r="41" spans="2:12" ht="63" x14ac:dyDescent="0.25">
      <c r="B41" s="117" t="s">
        <v>107</v>
      </c>
      <c r="C41" s="70" t="s">
        <v>524</v>
      </c>
      <c r="D41" s="70">
        <v>30</v>
      </c>
      <c r="E41" s="70">
        <v>3</v>
      </c>
      <c r="F41" s="127" t="s">
        <v>521</v>
      </c>
      <c r="G41" s="118"/>
      <c r="H41" s="105"/>
      <c r="I41" s="83"/>
      <c r="J41" s="77"/>
      <c r="K41" s="120"/>
      <c r="L41" s="82"/>
    </row>
    <row r="42" spans="2:12" ht="63" x14ac:dyDescent="0.25">
      <c r="B42" s="117" t="s">
        <v>107</v>
      </c>
      <c r="C42" s="70" t="s">
        <v>587</v>
      </c>
      <c r="D42" s="70">
        <v>30</v>
      </c>
      <c r="E42" s="70" t="s">
        <v>523</v>
      </c>
      <c r="F42" s="70" t="s">
        <v>526</v>
      </c>
      <c r="G42" s="70"/>
      <c r="H42" s="105"/>
      <c r="I42" s="83"/>
      <c r="J42" s="77"/>
      <c r="K42" s="120"/>
      <c r="L42" s="74"/>
    </row>
    <row r="43" spans="2:12" ht="84" x14ac:dyDescent="0.25">
      <c r="B43" s="117" t="s">
        <v>107</v>
      </c>
      <c r="C43" s="70" t="s">
        <v>588</v>
      </c>
      <c r="D43" s="70">
        <v>30</v>
      </c>
      <c r="E43" s="70" t="s">
        <v>343</v>
      </c>
      <c r="F43" s="70" t="s">
        <v>344</v>
      </c>
      <c r="G43" s="70"/>
      <c r="H43" s="105"/>
      <c r="I43" s="83"/>
      <c r="J43" s="77"/>
      <c r="K43" s="120"/>
      <c r="L43" s="74"/>
    </row>
    <row r="44" spans="2:12" ht="63" x14ac:dyDescent="0.25">
      <c r="B44" s="117" t="s">
        <v>107</v>
      </c>
      <c r="C44" s="70" t="s">
        <v>590</v>
      </c>
      <c r="D44" s="70">
        <v>30</v>
      </c>
      <c r="E44" s="70" t="s">
        <v>332</v>
      </c>
      <c r="F44" s="70" t="s">
        <v>345</v>
      </c>
      <c r="G44" s="70"/>
      <c r="H44" s="105"/>
      <c r="I44" s="83"/>
      <c r="J44" s="77"/>
      <c r="K44" s="120"/>
      <c r="L44" s="74"/>
    </row>
    <row r="45" spans="2:12" ht="42" x14ac:dyDescent="0.25">
      <c r="B45" s="117" t="s">
        <v>107</v>
      </c>
      <c r="C45" s="70" t="s">
        <v>589</v>
      </c>
      <c r="D45" s="70">
        <v>30</v>
      </c>
      <c r="E45" s="70" t="s">
        <v>334</v>
      </c>
      <c r="F45" s="70" t="s">
        <v>346</v>
      </c>
      <c r="G45" s="70"/>
      <c r="H45" s="105"/>
      <c r="I45" s="83"/>
      <c r="J45" s="77"/>
      <c r="K45" s="120"/>
      <c r="L45" s="74"/>
    </row>
    <row r="46" spans="2:12" ht="222" customHeight="1" x14ac:dyDescent="0.25">
      <c r="B46" s="117" t="s">
        <v>107</v>
      </c>
      <c r="C46" s="70" t="s">
        <v>591</v>
      </c>
      <c r="D46" s="70">
        <v>30</v>
      </c>
      <c r="E46" s="70" t="s">
        <v>336</v>
      </c>
      <c r="F46" s="70" t="s">
        <v>347</v>
      </c>
      <c r="G46" s="70"/>
      <c r="H46" s="105"/>
      <c r="I46" s="83"/>
      <c r="J46" s="77"/>
      <c r="K46" s="120"/>
      <c r="L46" s="74"/>
    </row>
    <row r="47" spans="2:12" ht="231" x14ac:dyDescent="0.25">
      <c r="B47" s="117" t="s">
        <v>107</v>
      </c>
      <c r="C47" s="70" t="s">
        <v>592</v>
      </c>
      <c r="D47" s="70">
        <v>30</v>
      </c>
      <c r="E47" s="70" t="s">
        <v>338</v>
      </c>
      <c r="F47" s="70" t="s">
        <v>349</v>
      </c>
      <c r="G47" s="70"/>
      <c r="H47" s="105"/>
      <c r="I47" s="83"/>
      <c r="J47" s="77"/>
      <c r="K47" s="120"/>
      <c r="L47" s="74"/>
    </row>
    <row r="48" spans="2:12" ht="63" x14ac:dyDescent="0.25">
      <c r="B48" s="117" t="s">
        <v>107</v>
      </c>
      <c r="C48" s="70" t="s">
        <v>522</v>
      </c>
      <c r="D48" s="70">
        <v>30</v>
      </c>
      <c r="E48" s="70">
        <v>4</v>
      </c>
      <c r="F48" s="70" t="s">
        <v>350</v>
      </c>
      <c r="G48" s="70"/>
      <c r="H48" s="105"/>
      <c r="I48" s="83"/>
      <c r="J48" s="77"/>
      <c r="K48" s="120"/>
      <c r="L48" s="74"/>
    </row>
    <row r="49" spans="2:12" ht="130" customHeight="1" x14ac:dyDescent="0.35">
      <c r="B49" s="117" t="inlineStr">
        <is>
          <t xml:space="preserve">Third Party Risk Management</t>
        </is>
      </c>
      <c r="C49" s="70" t="inlineStr">
        <is>
          <t xml:space="preserve">Does your organization maintain and submit its Register of Information on ICT third-party arrangements to the competent authority at least yearly (by 30 April), using the harmonised Register of Information templates in Commission Implementing Regulation (EU) 2024/2956?</t>
        </is>
      </c>
      <c r="D49" s="70">
        <v>28</v>
      </c>
      <c r="E49" s="70">
        <v>9</v>
      </c>
      <c r="F49" s="70" t="inlineStr">
        <is>
          <t xml:space="preserve">Financial entities shall report the information on all ICT third-party service providers, as included in the register of information, to the competent authority at least on a yearly basis, using the harmonised templates and following the reporting instructions set out in the implementing technical standards on the register of information.</t>
        </is>
      </c>
      <c r="G49" s="70"/>
      <c r="H49" s="105"/>
      <c r="I49" s="83"/>
      <c r="J49" s="77"/>
      <c r="K49" s="120"/>
      <c r="L49" s="74"/>
    </row>
    <row r="50" spans="2:12" ht="130" customHeight="1" x14ac:dyDescent="0.35">
      <c r="B50" s="117" t="inlineStr">
        <is>
          <t xml:space="preserve">Third Party Risk Management</t>
        </is>
      </c>
      <c r="C50" s="70" t="inlineStr">
        <is>
          <t xml:space="preserve">Has your organization identified whether any of its ICT third-party service providers have been designated as a Critical ICT Third-Party Provider (CTPP) by the European Supervisory Authorities, and does it understand the related cooperation obligations towards the Lead Overseer under the Oversight Framework (Articles 31-44)?</t>
        </is>
      </c>
      <c r="D50" s="70">
        <v>31</v>
      </c>
      <c r="E50" s="70">
        <v>1</v>
      </c>
      <c r="F50" s="70" t="inlineStr">
        <is>
          <t xml:space="preserve">The European Supervisory Authorities, through the Joint Committee, shall designate the ICT third-party service providers that are critical for financial entities, following the criteria specified in Article 31, and shall appoint a Lead Overseer for each designated critical ICT third-party service provider.</t>
        </is>
      </c>
      <c r="G50" s="70"/>
      <c r="H50" s="105"/>
      <c r="I50" s="83"/>
      <c r="J50" s="77"/>
      <c r="K50" s="120"/>
      <c r="L50" s="74"/>
    </row>
    <row r="51" spans="2:12" ht="130" customHeight="1" x14ac:dyDescent="0.35">
      <c r="B51" s="117" t="inlineStr">
        <is>
          <t xml:space="preserve">Third Party Risk Management</t>
        </is>
      </c>
      <c r="C51" s="71" t="inlineStr">
        <is>
          <t xml:space="preserve">Does your organization's due diligence and contractual-approval process for subcontracting of ICT services supporting critical or important functions reflect the finalised RTS specifying the conditions under which such subcontracting is permitted (Commission Delegated Regulation (EU) 2025/532)?</t>
        </is>
      </c>
      <c r="D51" s="70">
        <v>30</v>
      </c>
      <c r="E51" s="70">
        <v>5</v>
      </c>
      <c r="F51" s="70" t="inlineStr">
        <is>
          <t xml:space="preserve">Where a contractual arrangement on the use of ICT services supporting critical or important functions provides for the possibility of subcontracting, financial entities shall assess, in accordance with the regulatory technical standards referred to in Article 30(5), the risks and conditions attached to such subcontracting, including any sub-outsourcing chain.</t>
        </is>
      </c>
      <c r="G51" s="71"/>
      <c r="H51" s="105"/>
      <c r="I51" s="84"/>
      <c r="J51" s="77"/>
      <c r="K51" s="120"/>
      <c r="L51" s="76"/>
    </row>
  </sheetData>
  <sheetProtection sheet="1" objects="1" scenarios="1"/>
  <conditionalFormatting sqref="J6:J51">
    <cfRule type="colorScale" priority="10">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45A0215F-D30A-4D6B-9DF6-271C2796D578}">
            <xm:f>NOT(ISERROR(SEARCH(Sheet2!$B$5,H6)))</xm:f>
            <xm:f>Sheet2!$B$5</xm:f>
            <x14:dxf>
              <font>
                <color theme="0"/>
              </font>
              <fill>
                <patternFill>
                  <bgColor rgb="FFF8696B"/>
                </patternFill>
              </fill>
            </x14:dxf>
          </x14:cfRule>
          <x14:cfRule type="containsText" priority="5" operator="containsText" id="{9723F96B-761F-403F-9277-0CB077D98FC2}">
            <xm:f>NOT(ISERROR(SEARCH(Sheet2!$B$4,H6)))</xm:f>
            <xm:f>Sheet2!$B$4</xm:f>
            <x14:dxf>
              <fill>
                <patternFill>
                  <bgColor rgb="FFFFEB84"/>
                </patternFill>
              </fill>
            </x14:dxf>
          </x14:cfRule>
          <x14:cfRule type="containsText" priority="6" operator="containsText" id="{DAD05EFD-9807-44A5-90BB-C53EDB9F3B8F}">
            <xm:f>NOT(ISERROR(SEARCH(Sheet2!$B$3,H6)))</xm:f>
            <xm:f>Sheet2!$B$3</xm:f>
            <x14:dxf>
              <fill>
                <patternFill>
                  <bgColor rgb="FF63BE7B"/>
                </patternFill>
              </fill>
            </x14:dxf>
          </x14:cfRule>
          <xm:sqref>H6:H51</xm:sqref>
        </x14:conditionalFormatting>
        <x14:conditionalFormatting xmlns:xm="http://schemas.microsoft.com/office/excel/2006/main">
          <x14:cfRule type="containsText" priority="1" operator="containsText" id="{06D6022E-D091-4BE5-89DD-21707D0135D7}">
            <xm:f>NOT(ISERROR(SEARCH(Sheet2!$F$3,K6)))</xm:f>
            <xm:f>Sheet2!$F$3</xm:f>
            <x14:dxf>
              <fill>
                <patternFill>
                  <bgColor rgb="FF63BE7B"/>
                </patternFill>
              </fill>
            </x14:dxf>
          </x14:cfRule>
          <x14:cfRule type="containsText" priority="2" operator="containsText" id="{C2FEA2B7-9F10-4BF0-88DF-3EC31A22C8EC}">
            <xm:f>NOT(ISERROR(SEARCH(Sheet2!$F$4,K6)))</xm:f>
            <xm:f>Sheet2!$F$4</xm:f>
            <x14:dxf>
              <fill>
                <patternFill>
                  <bgColor rgb="FFFFEB84"/>
                </patternFill>
              </fill>
            </x14:dxf>
          </x14:cfRule>
          <x14:cfRule type="containsText" priority="3" operator="containsText" id="{FA04D6D5-7E4B-4B6E-B626-03DD8A50E463}">
            <xm:f>NOT(ISERROR(SEARCH(Sheet2!$F$5,K6)))</xm:f>
            <xm:f>Sheet2!$F$5</xm:f>
            <x14:dxf>
              <font>
                <color theme="0"/>
              </font>
              <fill>
                <patternFill>
                  <bgColor rgb="FFF8696B"/>
                </patternFill>
              </fill>
            </x14:dxf>
          </x14:cfRule>
          <xm:sqref>K6:K51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E27425C-06C5-451D-AAB9-4B854D74AC2D}">
          <x14:formula1>
            <xm:f>Sheet2!$B$3:$B$5</xm:f>
          </x14:formula1>
          <xm:sqref>H6:H51</xm:sqref>
        </x14:dataValidation>
        <x14:dataValidation type="list" allowBlank="1" showInputMessage="1" showErrorMessage="1" xr:uid="{5626F2DC-C305-42B7-AB08-77981EB732E3}">
          <x14:formula1>
            <xm:f>Sheet2!$D$3:$D$7</xm:f>
          </x14:formula1>
          <xm:sqref>J6:J51</xm:sqref>
        </x14:dataValidation>
        <x14:dataValidation type="list" allowBlank="1" showInputMessage="1" showErrorMessage="1" xr:uid="{A38CC5AD-F1C3-455F-A0AC-BC7E3C92EDFF}">
          <x14:formula1>
            <xm:f>Sheet2!$F$3:$F$5</xm:f>
          </x14:formula1>
          <xm:sqref>K6:K51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9C425-FD10-47CA-B765-2E5CA0482191}">
  <sheetPr>
    <tabColor rgb="FFFF0000"/>
  </sheetPr>
  <dimension ref="A1:BI3"/>
  <sheetViews>
    <sheetView zoomScale="85" zoomScaleNormal="85" workbookViewId="0">
      <selection activeCell="B13" sqref="B13"/>
    </sheetView>
  </sheetViews>
  <sheetFormatPr defaultRowHeight="15" x14ac:dyDescent="0.25"/>
  <cols>
    <col min="1" max="1" width="21.28515625" bestFit="1" customWidth="1"/>
    <col min="2" max="2" width="81" bestFit="1" customWidth="1"/>
    <col min="3" max="3" width="9.28515625" bestFit="1" customWidth="1"/>
    <col min="4" max="4" width="9.85546875" bestFit="1" customWidth="1"/>
    <col min="5" max="5" width="81.140625" bestFit="1" customWidth="1"/>
    <col min="6" max="6" width="36.85546875" bestFit="1" customWidth="1"/>
    <col min="7" max="7" width="37.85546875" bestFit="1" customWidth="1"/>
    <col min="8" max="8" width="22.85546875" bestFit="1" customWidth="1"/>
    <col min="9" max="9" width="9.85546875" bestFit="1" customWidth="1"/>
    <col min="10" max="10" width="42.85546875" bestFit="1" customWidth="1"/>
    <col min="11" max="11" width="18.5703125" bestFit="1" customWidth="1"/>
    <col min="12" max="12" width="20.7109375" bestFit="1" customWidth="1"/>
    <col min="15" max="15" width="26.7109375" bestFit="1" customWidth="1"/>
    <col min="16" max="16" width="57.28515625" bestFit="1" customWidth="1"/>
    <col min="17" max="17" width="25.28515625" bestFit="1" customWidth="1"/>
    <col min="18" max="18" width="9.28515625" bestFit="1" customWidth="1"/>
    <col min="19" max="19" width="9.85546875" bestFit="1" customWidth="1"/>
    <col min="20" max="20" width="81.140625" bestFit="1" customWidth="1"/>
    <col min="21" max="21" width="36.85546875" bestFit="1" customWidth="1"/>
    <col min="22" max="22" width="37.85546875" bestFit="1" customWidth="1"/>
    <col min="23" max="23" width="22.85546875" bestFit="1" customWidth="1"/>
    <col min="24" max="24" width="9.85546875" bestFit="1" customWidth="1"/>
    <col min="25" max="25" width="42.85546875" bestFit="1" customWidth="1"/>
    <col min="26" max="26" width="18.5703125" bestFit="1" customWidth="1"/>
    <col min="29" max="29" width="11.7109375" bestFit="1" customWidth="1"/>
    <col min="30" max="30" width="34.5703125" bestFit="1" customWidth="1"/>
    <col min="31" max="31" width="9.28515625" bestFit="1" customWidth="1"/>
    <col min="32" max="32" width="9.85546875" bestFit="1" customWidth="1"/>
    <col min="33" max="33" width="72.85546875" bestFit="1" customWidth="1"/>
    <col min="34" max="34" width="36.85546875" bestFit="1" customWidth="1"/>
    <col min="35" max="35" width="37.85546875" bestFit="1" customWidth="1"/>
    <col min="36" max="36" width="22.85546875" bestFit="1" customWidth="1"/>
    <col min="37" max="37" width="9.85546875" bestFit="1" customWidth="1"/>
    <col min="38" max="38" width="24.7109375" bestFit="1" customWidth="1"/>
    <col min="39" max="39" width="18.5703125" bestFit="1" customWidth="1"/>
    <col min="40" max="40" width="44.5703125" bestFit="1" customWidth="1"/>
    <col min="41" max="41" width="26.42578125" bestFit="1" customWidth="1"/>
    <col min="51" max="51" width="28.5703125" bestFit="1" customWidth="1"/>
    <col min="52" max="52" width="80.7109375" bestFit="1" customWidth="1"/>
    <col min="53" max="53" width="9.28515625" bestFit="1" customWidth="1"/>
    <col min="54" max="54" width="9.85546875" bestFit="1" customWidth="1"/>
    <col min="55" max="55" width="81.140625" bestFit="1" customWidth="1"/>
    <col min="56" max="56" width="36.85546875" bestFit="1" customWidth="1"/>
    <col min="57" max="57" width="37.85546875" bestFit="1" customWidth="1"/>
    <col min="58" max="58" width="22.85546875" bestFit="1" customWidth="1"/>
    <col min="59" max="59" width="9.85546875" bestFit="1" customWidth="1"/>
    <col min="60" max="60" width="31.42578125" bestFit="1" customWidth="1"/>
    <col min="61" max="61" width="18.5703125" bestFit="1" customWidth="1"/>
    <col min="62" max="62" width="25" bestFit="1" customWidth="1"/>
    <col min="63" max="63" width="20.7109375" bestFit="1" customWidth="1"/>
  </cols>
  <sheetData>
    <row r="1" spans="1:61" ht="45" x14ac:dyDescent="0.25">
      <c r="A1" t="s">
        <v>106</v>
      </c>
      <c r="B1" t="s">
        <v>351</v>
      </c>
      <c r="C1" t="s">
        <v>95</v>
      </c>
      <c r="D1" t="s">
        <v>96</v>
      </c>
      <c r="E1" t="s">
        <v>534</v>
      </c>
      <c r="F1" t="s">
        <v>387</v>
      </c>
      <c r="G1" t="s">
        <v>353</v>
      </c>
      <c r="H1" t="s">
        <v>354</v>
      </c>
      <c r="I1" t="s">
        <v>283</v>
      </c>
      <c r="J1" t="s">
        <v>398</v>
      </c>
      <c r="K1" t="s">
        <v>355</v>
      </c>
      <c r="P1" t="s">
        <v>106</v>
      </c>
      <c r="Q1" t="s">
        <v>351</v>
      </c>
      <c r="R1" t="s">
        <v>95</v>
      </c>
      <c r="S1" t="s">
        <v>96</v>
      </c>
      <c r="T1" t="s">
        <v>534</v>
      </c>
      <c r="U1" t="s">
        <v>387</v>
      </c>
      <c r="V1" t="s">
        <v>353</v>
      </c>
      <c r="W1" t="s">
        <v>354</v>
      </c>
      <c r="X1" t="s">
        <v>283</v>
      </c>
      <c r="Y1" t="s">
        <v>398</v>
      </c>
      <c r="Z1" t="s">
        <v>355</v>
      </c>
      <c r="AC1" t="s">
        <v>106</v>
      </c>
      <c r="AD1" t="s">
        <v>351</v>
      </c>
      <c r="AE1" t="s">
        <v>95</v>
      </c>
      <c r="AF1" t="s">
        <v>96</v>
      </c>
      <c r="AG1" t="s">
        <v>534</v>
      </c>
      <c r="AH1" t="s">
        <v>387</v>
      </c>
      <c r="AI1" t="s">
        <v>353</v>
      </c>
      <c r="AJ1" t="s">
        <v>354</v>
      </c>
      <c r="AK1" t="s">
        <v>283</v>
      </c>
      <c r="AL1" t="s">
        <v>398</v>
      </c>
      <c r="AM1" t="s">
        <v>355</v>
      </c>
      <c r="AY1" t="s">
        <v>106</v>
      </c>
      <c r="AZ1" t="s">
        <v>351</v>
      </c>
      <c r="BA1" t="s">
        <v>95</v>
      </c>
      <c r="BB1" t="s">
        <v>96</v>
      </c>
      <c r="BC1" t="s">
        <v>534</v>
      </c>
      <c r="BD1" t="s">
        <v>387</v>
      </c>
      <c r="BE1" t="s">
        <v>353</v>
      </c>
      <c r="BF1" t="s">
        <v>354</v>
      </c>
      <c r="BG1" t="s">
        <v>283</v>
      </c>
      <c r="BH1" t="s">
        <v>398</v>
      </c>
      <c r="BI1" t="s">
        <v>355</v>
      </c>
    </row>
    <row r="2" spans="1:61" ht="105" x14ac:dyDescent="0.25">
      <c r="A2" t="s">
        <v>0</v>
      </c>
      <c r="B2" t="s">
        <v>489</v>
      </c>
      <c r="C2">
        <v>5</v>
      </c>
      <c r="D2">
        <v>1</v>
      </c>
      <c r="E2" t="s">
        <v>197</v>
      </c>
      <c r="F2" t="s">
        <v>392</v>
      </c>
      <c r="G2" t="s">
        <v>285</v>
      </c>
      <c r="I2">
        <v>3</v>
      </c>
      <c r="J2" t="s">
        <v>397</v>
      </c>
      <c r="P2" t="s">
        <v>161</v>
      </c>
      <c r="Q2" t="s">
        <v>556</v>
      </c>
      <c r="R2">
        <v>17</v>
      </c>
      <c r="S2">
        <v>1</v>
      </c>
      <c r="T2" t="s">
        <v>361</v>
      </c>
      <c r="V2" t="s">
        <v>285</v>
      </c>
      <c r="X2">
        <v>4</v>
      </c>
      <c r="AC2" t="s">
        <v>162</v>
      </c>
      <c r="AD2" t="s">
        <v>562</v>
      </c>
      <c r="AE2">
        <v>24</v>
      </c>
      <c r="AF2">
        <v>1</v>
      </c>
      <c r="AG2" t="s">
        <v>503</v>
      </c>
      <c r="AH2" t="s">
        <v>544</v>
      </c>
      <c r="AI2" t="s">
        <v>285</v>
      </c>
      <c r="AK2">
        <v>3</v>
      </c>
      <c r="AL2" t="s">
        <v>395</v>
      </c>
      <c r="AY2" t="s">
        <v>107</v>
      </c>
      <c r="AZ2" t="s">
        <v>414</v>
      </c>
      <c r="BA2">
        <v>28</v>
      </c>
      <c r="BB2">
        <v>1</v>
      </c>
      <c r="BC2" t="s">
        <v>288</v>
      </c>
      <c r="BE2" t="s">
        <v>285</v>
      </c>
      <c r="BH2" t="s">
        <v>396</v>
      </c>
    </row>
    <row r="3" spans="1:61" ht="75" x14ac:dyDescent="0.25">
      <c r="A3" t="s">
        <v>0</v>
      </c>
      <c r="B3" t="s">
        <v>548</v>
      </c>
      <c r="C3">
        <v>5</v>
      </c>
      <c r="D3">
        <v>2</v>
      </c>
      <c r="E3" t="s">
        <v>198</v>
      </c>
      <c r="G3" t="s">
        <v>286</v>
      </c>
      <c r="I3">
        <v>4</v>
      </c>
      <c r="P3" t="s">
        <v>161</v>
      </c>
      <c r="Q3" t="s">
        <v>139</v>
      </c>
      <c r="R3">
        <v>17</v>
      </c>
      <c r="S3">
        <v>2</v>
      </c>
      <c r="T3" t="s">
        <v>496</v>
      </c>
      <c r="V3" t="s">
        <v>286</v>
      </c>
      <c r="AC3" t="s">
        <v>162</v>
      </c>
      <c r="AD3" t="s">
        <v>563</v>
      </c>
      <c r="AE3">
        <v>24</v>
      </c>
      <c r="AF3">
        <v>2</v>
      </c>
      <c r="AG3" t="s">
        <v>502</v>
      </c>
      <c r="AI3" t="s">
        <v>286</v>
      </c>
      <c r="AY3" t="s">
        <v>107</v>
      </c>
      <c r="AZ3" t="s">
        <v>91</v>
      </c>
      <c r="BA3">
        <v>28</v>
      </c>
      <c r="BB3">
        <v>1</v>
      </c>
      <c r="BC3" t="s">
        <v>289</v>
      </c>
      <c r="BE3" t="s">
        <v>286</v>
      </c>
    </row>
  </sheetData>
  <sheetProtection sheet="1" objects="1" scenarios="1"/>
  <pageMargins left="0.7" right="0.7" top="0.75" bottom="0.75" header="0.3" footer="0.3"/>
  <tableParts count="4">
    <tablePart r:id="rId1"/>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EA63B-AC87-480C-83BA-0F4C1FC4797D}">
  <dimension ref="B3:F7"/>
  <sheetViews>
    <sheetView workbookViewId="0">
      <selection activeCell="F9" sqref="F9"/>
    </sheetView>
  </sheetViews>
  <sheetFormatPr defaultRowHeight="15" x14ac:dyDescent="0.25"/>
  <cols>
    <col min="6" max="6" width="15.7109375" customWidth="1"/>
  </cols>
  <sheetData>
    <row r="3" spans="2:6" ht="23.25" x14ac:dyDescent="0.35">
      <c r="B3" t="s">
        <v>284</v>
      </c>
      <c r="D3" s="68">
        <v>1</v>
      </c>
      <c r="F3" t="s">
        <v>395</v>
      </c>
    </row>
    <row r="4" spans="2:6" ht="23.25" x14ac:dyDescent="0.35">
      <c r="B4" t="s">
        <v>285</v>
      </c>
      <c r="D4" s="68">
        <v>2</v>
      </c>
      <c r="F4" t="s">
        <v>396</v>
      </c>
    </row>
    <row r="5" spans="2:6" ht="23.25" x14ac:dyDescent="0.35">
      <c r="B5" t="s">
        <v>286</v>
      </c>
      <c r="D5" s="68">
        <v>3</v>
      </c>
      <c r="F5" t="s">
        <v>397</v>
      </c>
    </row>
    <row r="6" spans="2:6" ht="23.25" x14ac:dyDescent="0.35">
      <c r="D6" s="68">
        <v>4</v>
      </c>
    </row>
    <row r="7" spans="2:6" ht="23.25" x14ac:dyDescent="0.35">
      <c r="D7" s="68">
        <v>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2C3D4-E5F6-4789-9ABC-DEF012345678}">
  <dimension ref="B1:L9"/>
  <sheetViews>
    <sheetView showGridLines="0" zoomScale="50" zoomScaleNormal="50" workbookViewId="0"/>
  </sheetViews>
  <sheetFormatPr defaultColWidth="19.7109375" defaultRowHeight="15" x14ac:dyDescent="0.25"/>
  <cols>
    <col min="1" max="1" width="19.7109375" style="85"/>
    <col min="2" max="2" width="54.5703125" style="85" customWidth="1"/>
    <col min="3" max="3" width="146.7109375" style="85" customWidth="1"/>
    <col min="4" max="4" width="16.28515625" style="85" customWidth="1"/>
    <col min="5" max="5" width="19.5703125" style="85" customWidth="1"/>
    <col min="6" max="6" width="122" style="85" customWidth="1"/>
    <col min="7" max="7" width="43" style="85" customWidth="1"/>
    <col min="8" max="8" width="42" style="85" customWidth="1"/>
    <col min="9" max="9" width="38.7109375" style="85" customWidth="1"/>
    <col min="10" max="10" width="19.7109375" style="85"/>
    <col min="11" max="11" width="68.7109375" style="85" customWidth="1"/>
    <col min="12" max="12" width="32.5703125" style="85" customWidth="1"/>
    <col min="13" max="16384" width="19.7109375" style="85"/>
  </cols>
  <sheetData>
    <row r="1" spans="2:12" ht="59.25" customHeight="1" x14ac:dyDescent="0.25"/>
    <row r="2" spans="2:12" ht="249.75" customHeight="1" x14ac:dyDescent="0.25"/>
    <row r="3" spans="2:12" ht="219" customHeight="1" thickBot="1" x14ac:dyDescent="0.3"/>
    <row r="4" spans="2:12" ht="42" customHeight="1" x14ac:dyDescent="0.25">
      <c r="F4" s="93" t="s">
        <v>389</v>
      </c>
    </row>
    <row r="5" spans="2:12" ht="70.150000000000006" customHeight="1" x14ac:dyDescent="0.25">
      <c r="B5" s="97" t="s">
        <v>106</v>
      </c>
      <c r="C5" s="97" t="s">
        <v>351</v>
      </c>
      <c r="D5" s="97" t="s">
        <v>95</v>
      </c>
      <c r="E5" s="97" t="s">
        <v>96</v>
      </c>
      <c r="F5" s="98" t="s">
        <v>534</v>
      </c>
      <c r="G5" s="98" t="s">
        <v>387</v>
      </c>
      <c r="H5" s="92" t="s">
        <v>353</v>
      </c>
      <c r="I5" s="92" t="s">
        <v>354</v>
      </c>
      <c r="J5" s="91" t="s">
        <v>283</v>
      </c>
      <c r="K5" s="116" t="s">
        <v>398</v>
      </c>
      <c r="L5" s="91" t="s">
        <v>355</v>
      </c>
    </row>
    <row r="6" spans="2:12" ht="130" customHeight="1" x14ac:dyDescent="0.35">
      <c r="B6" s="81" t="inlineStr">
        <is>
          <t xml:space="preserve">Information Sharing</t>
        </is>
      </c>
      <c r="C6" s="108" t="inlineStr">
        <is>
          <t xml:space="preserve">Does your organization exchange cyber threat information and intelligence with other financial entities (e.g. indicators of compromise, tactics, techniques and procedures, cyber security alerts and configuration tools) in a way that enhances digital operational resilience, takes place within a trusted community of financial entities, and is implemented through arrangements that protect the sensitivity of the information shared and respect business confidentiality, personal data protection, and competition rules?</t>
        </is>
      </c>
      <c r="D6" s="96">
        <v>45</v>
      </c>
      <c r="E6" s="81">
        <v>1</v>
      </c>
      <c r="F6" s="111" t="inlineStr">
        <is>
          <t xml:space="preserve">Financial entities may exchange amongst themselves cyber threat information and intelligence, including indicators of compromise, tactics, techniques, and procedures, cyber security alerts and configuration tools, to the extent that such information and intelligence sharing: (a) aims to enhance the digital operational resilience of financial entities...; (b) takes place within trusted communities of financial entities; (c) is implemented through information-sharing arrangements that protect the potentially sensitive nature of the information shared, and that are governed by rules of conduct in full respect of business confidentiality, protection of personal data in accordance with Regulation (EU) 2016/679 and guidelines on competition policy.</t>
        </is>
      </c>
      <c r="G6" s="94"/>
      <c r="H6" s="105"/>
      <c r="I6" s="83"/>
      <c r="J6" s="77"/>
      <c r="K6" s="120"/>
      <c r="L6" s="74"/>
    </row>
    <row r="7" spans="2:12" ht="130" customHeight="1" x14ac:dyDescent="0.35">
      <c r="B7" s="81" t="inlineStr">
        <is>
          <t xml:space="preserve">Information Sharing</t>
        </is>
      </c>
      <c r="C7" s="108" t="inlineStr">
        <is>
          <t xml:space="preserve">Where your organization participates in an information-sharing arrangement, does that arrangement clearly define the conditions for participation and, where appropriate, set out the involvement of public authorities and of ICT third-party service providers, and the operational elements such as the use of dedicated IT platforms?</t>
        </is>
      </c>
      <c r="D7" s="96">
        <v>45</v>
      </c>
      <c r="E7" s="81">
        <v>2</v>
      </c>
      <c r="F7" s="111" t="inlineStr">
        <is>
          <t xml:space="preserve">For the purpose of paragraph 1, point (c), the information-sharing arrangements shall define the conditions for participation and, where appropriate, shall set out the details on the involvement of public authorities and the capacity in which they may be associated to the information-sharing arrangements, on the involvement of ICT third-party service providers, and on operational elements, including the use of dedicated IT platforms.</t>
        </is>
      </c>
      <c r="G7" s="94"/>
      <c r="H7" s="105"/>
      <c r="I7" s="83"/>
      <c r="J7" s="77"/>
      <c r="K7" s="120"/>
      <c r="L7" s="74"/>
    </row>
    <row r="8" spans="2:12" ht="130" customHeight="1" x14ac:dyDescent="0.35">
      <c r="B8" s="81" t="inlineStr">
        <is>
          <t xml:space="preserve">Information Sharing</t>
        </is>
      </c>
      <c r="C8" s="108" t="inlineStr">
        <is>
          <t xml:space="preserve">Does your organization notify the competent authority of its participation in an information-sharing arrangement upon validation of its membership, and notify the cessation of that membership once it takes effect?</t>
        </is>
      </c>
      <c r="D8" s="96">
        <v>45</v>
      </c>
      <c r="E8" s="81">
        <v>3</v>
      </c>
      <c r="F8" s="111" t="inlineStr">
        <is>
          <t xml:space="preserve">Financial entities shall notify competent authorities of their participation in the information-sharing arrangements referred to in paragraph 1, upon validation of their membership, or, as applicable, of the cessation of their membership, once it takes effect.</t>
        </is>
      </c>
      <c r="G8" s="94"/>
      <c r="H8" s="105"/>
      <c r="I8" s="83"/>
      <c r="J8" s="77"/>
      <c r="K8" s="120"/>
      <c r="L8" s="74"/>
    </row>
    <row r="9" spans="2:12" ht="409.6" customHeight="1" x14ac:dyDescent="0.25"/>
  </sheetData>
  <sheetProtection sheet="1" objects="1" scenarios="1"/>
  <conditionalFormatting sqref="J6:J8">
    <cfRule type="colorScale" priority="10">
      <colorScale>
        <cfvo type="num" val="1"/>
        <cfvo type="num" val="3"/>
        <cfvo type="num" val="5"/>
        <color rgb="FFF8696B"/>
        <color rgb="FFFFEB84"/>
        <color rgb="FF63BE7B"/>
      </colorScale>
    </cfRule>
  </conditionalFormatting>
  <pageMargins left="0.7" right="0.7" top="0.75" bottom="0.75" header="0.3" footer="0.3"/>
  <pageSetup orientation="portrait" horizontalDpi="300" verticalDpi="300"/>
  <drawing r:id="rId2"/>
  <tableParts count="1">
    <tablePart r:id="rId4"/>
  </tableParts>
  <extLst>
    <ext xmlns:x14="http://schemas.microsoft.com/office/spreadsheetml/2009/9/main" uri="{78C0D931-6437-407d-A8EE-F0AAD7539E65}">
      <x14:conditionalFormattings>
        <x14:conditionalFormatting xmlns:xm="http://schemas.microsoft.com/office/excel/2006/main">
          <x14:cfRule type="containsText" priority="4" operator="containsText" id="{A5AF45DD-4540-4C74-9FBD-C8C58D038001}">
            <xm:f>NOT(ISERROR(SEARCH(Sheet2!$B$5,H6)))</xm:f>
            <xm:f>Sheet2!$B$5</xm:f>
            <x14:dxf>
              <font>
                <color theme="0"/>
              </font>
              <fill>
                <patternFill>
                  <bgColor rgb="FFF8696B"/>
                </patternFill>
              </fill>
            </x14:dxf>
          </x14:cfRule>
          <x14:cfRule type="containsText" priority="5" operator="containsText" id="{A9810F82-2330-4663-B62F-C345EC098002}">
            <xm:f>NOT(ISERROR(SEARCH(Sheet2!$B$4,H6)))</xm:f>
            <xm:f>Sheet2!$B$4</xm:f>
            <x14:dxf>
              <fill>
                <patternFill>
                  <bgColor rgb="FFFFEB84"/>
                </patternFill>
              </fill>
            </x14:dxf>
          </x14:cfRule>
          <x14:cfRule type="containsText" priority="6" operator="containsText" id="{A6D72D16-F5D5-47B8-A5A0-4E65EF95D003}">
            <xm:f>NOT(ISERROR(SEARCH(Sheet2!$B$3,H6)))</xm:f>
            <xm:f>Sheet2!$B$3</xm:f>
            <x14:dxf>
              <fill>
                <patternFill>
                  <bgColor rgb="FF63BE7B"/>
                </patternFill>
              </fill>
            </x14:dxf>
          </x14:cfRule>
          <xm:sqref>H6:H8</xm:sqref>
        </x14:conditionalFormatting>
        <x14:conditionalFormatting xmlns:xm="http://schemas.microsoft.com/office/excel/2006/main">
          <x14:cfRule type="containsText" priority="1" operator="containsText" id="{A7752408-FCF6-40BB-97AF-400A871AE004}">
            <xm:f>NOT(ISERROR(SEARCH(Sheet2!$F$3,K6)))</xm:f>
            <xm:f>Sheet2!$F$3</xm:f>
            <x14:dxf>
              <fill>
                <patternFill>
                  <bgColor rgb="FF63BE7B"/>
                </patternFill>
              </fill>
            </x14:dxf>
          </x14:cfRule>
          <x14:cfRule type="containsText" priority="2" operator="containsText" id="{A11E47B5-F48C-45CD-9E9A-A5CE0828B005}">
            <xm:f>NOT(ISERROR(SEARCH(Sheet2!$F$4,K6)))</xm:f>
            <xm:f>Sheet2!$F$4</xm:f>
            <x14:dxf>
              <fill>
                <patternFill>
                  <bgColor rgb="FFFFEB84"/>
                </patternFill>
              </fill>
            </x14:dxf>
          </x14:cfRule>
          <x14:cfRule type="containsText" priority="3" operator="containsText" id="{A749BD11-5FD0-4B2E-A658-92F33B83B006}">
            <xm:f>NOT(ISERROR(SEARCH(Sheet2!$F$5,K6)))</xm:f>
            <xm:f>Sheet2!$F$5</xm:f>
            <x14:dxf>
              <font>
                <color theme="0"/>
              </font>
              <fill>
                <patternFill>
                  <bgColor rgb="FFF8696B"/>
                </patternFill>
              </fill>
            </x14:dxf>
          </x14:cfRule>
          <xm:sqref>K6:K8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8B53C7F-22F0-4D23-BBCB-B30E6BC50007}">
          <x14:formula1>
            <xm:f>Sheet2!$B$3:$B$5</xm:f>
          </x14:formula1>
          <xm:sqref>H6:H8</xm:sqref>
        </x14:dataValidation>
        <x14:dataValidation type="list" allowBlank="1" showInputMessage="1" showErrorMessage="1" xr:uid="{AA6A73D9-A203-4FF9-8BFC-4CC03EDF1008}">
          <x14:formula1>
            <xm:f>Sheet2!$D$3:$D$7</xm:f>
          </x14:formula1>
          <xm:sqref>J6:J8</xm:sqref>
        </x14:dataValidation>
        <x14:dataValidation type="list" allowBlank="1" showInputMessage="1" showErrorMessage="1" xr:uid="{A21DE276-9D29-45BA-B0FD-6C81EB17009}">
          <x14:formula1>
            <xm:f>Sheet2!$F$3:$F$5</xm:f>
          </x14:formula1>
          <xm:sqref>K6:K8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778FFC-14ED-45EF-B38D-9C4C601727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Kalkylblad</vt:lpstr>
      </vt:variant>
      <vt:variant>
        <vt:i4>10</vt:i4>
      </vt:variant>
    </vt:vector>
  </HeadingPairs>
  <TitlesOfParts>
    <vt:vector size="10" baseType="lpstr">
      <vt:lpstr>Introduction DORA</vt:lpstr>
      <vt:lpstr>Overall results</vt:lpstr>
      <vt:lpstr>Task Manager </vt:lpstr>
      <vt:lpstr>ICT Risk Management</vt:lpstr>
      <vt:lpstr>ICT-related incident management</vt:lpstr>
      <vt:lpstr>Testing</vt:lpstr>
      <vt:lpstr>Third Party Risk Mangement</vt:lpstr>
      <vt:lpstr>Information Sharing</vt:lpstr>
      <vt:lpstr>Do not Touch</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DORA Self-Assessment Tool</dc:creator>
  <cp:lastModifiedBy>DORA Self-Assessment Tool</cp:lastModifiedBy>
  <dcterms:created xsi:type="dcterms:W3CDTF">2023-01-10T09:04:01Z</dcterms:created>
  <dcterms:modified xsi:type="dcterms:W3CDTF">2023-05-26T13:39:55Z</dcterms:modified>
</cp:coreProperties>
</file>